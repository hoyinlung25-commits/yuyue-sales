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儀表板" sheetId="1" state="visible" r:id="rId1"/>
    <sheet name="總數一覽" sheetId="2" state="visible" r:id="rId2"/>
    <sheet name="使用說明" sheetId="3" state="visible" r:id="rId3"/>
    <sheet name="學生資料庫" sheetId="4" state="visible" r:id="rId4"/>
    <sheet name="收費記錄" sheetId="5" state="visible" r:id="rId5"/>
    <sheet name="出席記錄" sheetId="6" state="visible" r:id="rId6"/>
    <sheet name="排課表" sheetId="7" state="visible" r:id="rId7"/>
    <sheet name="課室使用表" sheetId="8" state="visible" r:id="rId8"/>
    <sheet name="財務月結" sheetId="9" state="visible" r:id="rId9"/>
    <sheet name="學習進度" sheetId="10" state="visible" r:id="rId10"/>
    <sheet name="每日行政" sheetId="11" state="visible" r:id="rId11"/>
    <sheet name="家長通訊" sheetId="12" state="visible" r:id="rId12"/>
    <sheet name="導師資料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E3A5F"/>
      <sz val="14"/>
    </font>
    <font>
      <name val="Calibri"/>
      <color rgb="0064748B"/>
      <sz val="10"/>
    </font>
    <font>
      <name val="Calibri"/>
      <color rgb="0064748B"/>
      <sz val="9"/>
    </font>
    <font>
      <name val="Calibri"/>
      <b val="1"/>
      <color rgb="0064748B"/>
      <sz val="9"/>
    </font>
    <font>
      <name val="Calibri"/>
      <b val="1"/>
      <color rgb="001E3A5F"/>
      <sz val="16"/>
    </font>
    <font>
      <name val="Calibri"/>
      <b val="1"/>
      <color rgb="001E3A5F"/>
      <sz val="12"/>
    </font>
    <font>
      <name val="Calibri"/>
      <b val="1"/>
      <color rgb="00000000"/>
      <sz val="10"/>
    </font>
    <font>
      <name val="Calibri"/>
      <color rgb="001D4ED8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1E3A5F"/>
      <sz val="10"/>
    </font>
    <font>
      <name val="Calibri"/>
      <b val="1"/>
      <color rgb="001E3A5F"/>
      <sz val="11"/>
    </font>
    <font>
      <name val="Calibri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8FAFC"/>
      </patternFill>
    </fill>
    <fill>
      <patternFill patternType="solid">
        <fgColor rgb="00D4A843"/>
      </patternFill>
    </fill>
    <fill>
      <patternFill patternType="solid">
        <fgColor rgb="00FEF9C3"/>
      </patternFill>
    </fill>
  </fills>
  <borders count="6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left/>
      <right/>
      <top style="thin">
        <color rgb="00CBD5E0"/>
      </top>
      <bottom/>
      <diagonal/>
    </border>
    <border>
      <left/>
      <right style="thin">
        <color rgb="00CBD5E0"/>
      </right>
      <top style="thin">
        <color rgb="00CBD5E0"/>
      </top>
      <bottom/>
      <diagonal/>
    </border>
    <border>
      <left/>
      <right style="thin">
        <color rgb="00CBD5E0"/>
      </right>
      <top style="thin">
        <color rgb="00CBD5E0"/>
      </top>
      <bottom style="thin">
        <color rgb="00CBD5E0"/>
      </bottom>
      <diagonal/>
    </border>
    <border>
      <left/>
      <right/>
      <top style="thin">
        <color rgb="00CBD5E0"/>
      </top>
      <bottom style="thin">
        <color rgb="00CBD5E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3" fontId="6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 wrapText="1"/>
    </xf>
    <xf numFmtId="3" fontId="8" fillId="0" borderId="1" applyAlignment="1" pivotButton="0" quotePrefix="0" xfId="0">
      <alignment vertical="center" wrapText="1"/>
    </xf>
    <xf numFmtId="0" fontId="10" fillId="3" borderId="1" applyAlignment="1" pivotButton="0" quotePrefix="0" xfId="0">
      <alignment vertical="center" wrapText="1"/>
    </xf>
    <xf numFmtId="3" fontId="8" fillId="3" borderId="1" applyAlignment="1" pivotButton="0" quotePrefix="0" xfId="0">
      <alignment vertical="center" wrapText="1"/>
    </xf>
    <xf numFmtId="0" fontId="6" fillId="4" borderId="1" pivotButton="0" quotePrefix="0" xfId="0"/>
    <xf numFmtId="0" fontId="0" fillId="4" borderId="1" pivotButton="0" quotePrefix="0" xfId="0"/>
    <xf numFmtId="0" fontId="11" fillId="5" borderId="1" pivotButton="0" quotePrefix="0" xfId="0"/>
    <xf numFmtId="0" fontId="0" fillId="0" borderId="4" pivotButton="0" quotePrefix="0" xfId="0"/>
    <xf numFmtId="3" fontId="12" fillId="5" borderId="1" applyAlignment="1" pivotButton="0" quotePrefix="0" xfId="0">
      <alignment horizontal="right"/>
    </xf>
    <xf numFmtId="0" fontId="5" fillId="0" borderId="0" pivotButton="0" quotePrefix="0" xfId="0"/>
    <xf numFmtId="0" fontId="9" fillId="2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8" fillId="0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0" fontId="0" fillId="0" borderId="5" pivotButton="0" quotePrefix="0" xfId="0"/>
    <xf numFmtId="9" fontId="12" fillId="5" borderId="1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FEE2E2"/>
        </patternFill>
      </fill>
    </dxf>
    <dxf>
      <fill>
        <patternFill patternType="solid">
          <fgColor rgb="00FFEDD5"/>
        </patternFill>
      </fill>
    </dxf>
    <dxf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俊才坊補習社 · 營運儀表板</t>
        </is>
      </c>
    </row>
    <row r="2">
      <c r="A2" s="2" t="inlineStr">
        <is>
          <t>v3 · 即時 KPI 連動各表總數</t>
        </is>
      </c>
    </row>
    <row r="4">
      <c r="A4" s="3" t="inlineStr">
        <is>
          <t>更新日期：2026-06-11</t>
        </is>
      </c>
    </row>
    <row r="6">
      <c r="A6" s="4" t="inlineStr">
        <is>
          <t>在讀學生</t>
        </is>
      </c>
      <c r="C6" s="4" t="inlineStr">
        <is>
          <t>欠費學生</t>
        </is>
      </c>
      <c r="E6" s="4" t="inlineStr">
        <is>
          <t>本月實收</t>
        </is>
      </c>
      <c r="G6" s="4" t="inlineStr">
        <is>
          <t>本月應收</t>
        </is>
      </c>
      <c r="I6" s="4" t="inlineStr">
        <is>
          <t>待跟進通訊</t>
        </is>
      </c>
      <c r="K6" s="4" t="inlineStr">
        <is>
          <t>預估月營收</t>
        </is>
      </c>
    </row>
    <row r="7">
      <c r="A7" s="5">
        <f>COUNTIF(學生資料庫!R6:R200,"在讀")</f>
        <v/>
      </c>
      <c r="C7" s="5">
        <f>COUNTIF(學生資料庫!J6:J200,"欠費")</f>
        <v/>
      </c>
      <c r="E7" s="5">
        <f>SUMIF(收費記錄!E6:E200,TEXT(TODAY(),"YYYY-MM"),收費記錄!H6:H200)</f>
        <v/>
      </c>
      <c r="G7" s="5">
        <f>SUMIF(收費記錄!E6:E200,TEXT(TODAY(),"YYYY-MM"),收費記錄!G6:G200)</f>
        <v/>
      </c>
      <c r="I7" s="5">
        <f>COUNTIF(家長通訊!H6:H200,"跟進中")+COUNTIF(家長通訊!H6:H200,"待處理")</f>
        <v/>
      </c>
      <c r="K7" s="5">
        <f>SUM(排課表!M6:M200)</f>
        <v/>
      </c>
    </row>
    <row r="10">
      <c r="A10" s="6" t="inlineStr">
        <is>
          <t>各表總數速覽</t>
        </is>
      </c>
    </row>
    <row r="11">
      <c r="A11" s="7" t="inlineStr">
        <is>
          <t>學生月費總額</t>
        </is>
      </c>
      <c r="C11" s="8">
        <f>SUMIF(學生資料庫!R6:R200,"在讀",學生資料庫!I6:I200)</f>
        <v/>
      </c>
    </row>
    <row r="12">
      <c r="A12" s="7" t="inlineStr">
        <is>
          <t>欠費金額總數</t>
        </is>
      </c>
      <c r="C12" s="8">
        <f>SUM(學生資料庫!K6:K200)</f>
        <v/>
      </c>
    </row>
    <row r="13">
      <c r="A13" s="7" t="inlineStr">
        <is>
          <t>出席記錄總數</t>
        </is>
      </c>
      <c r="C13" s="8">
        <f>COUNTA(出席記錄!A6:A200)</f>
        <v/>
      </c>
    </row>
    <row r="14">
      <c r="A14" s="7" t="inlineStr">
        <is>
          <t>收款筆數</t>
        </is>
      </c>
      <c r="C14" s="8">
        <f>COUNTA(收費記錄!A6:A200)</f>
        <v/>
      </c>
    </row>
    <row r="15">
      <c r="A15" s="7" t="inlineStr">
        <is>
          <t>年度淨利</t>
        </is>
      </c>
      <c r="C15" s="8">
        <f>SUM(財務月結!M6:M200)</f>
        <v/>
      </c>
    </row>
    <row r="16">
      <c r="A16" s="7" t="inlineStr">
        <is>
          <t>待發送進度</t>
        </is>
      </c>
      <c r="C16" s="8">
        <f>COUNTIF(學習進度!N6:N200,"✗")</f>
        <v/>
      </c>
    </row>
    <row r="18">
      <c r="A18" s="9" t="inlineStr">
        <is>
          <t>→ 詳細總數請查看「總數一覽」工作表</t>
        </is>
      </c>
    </row>
  </sheetData>
  <mergeCells count="14">
    <mergeCell ref="A2:L2"/>
    <mergeCell ref="K7:L7"/>
    <mergeCell ref="E6:F6"/>
    <mergeCell ref="C6:D6"/>
    <mergeCell ref="C7:D7"/>
    <mergeCell ref="A7:B7"/>
    <mergeCell ref="G7:H7"/>
    <mergeCell ref="E7:F7"/>
    <mergeCell ref="I6:J6"/>
    <mergeCell ref="I7:J7"/>
    <mergeCell ref="A1:L1"/>
    <mergeCell ref="G6:H6"/>
    <mergeCell ref="K6:L6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8" customWidth="1" min="4" max="4"/>
    <col width="14" customWidth="1" min="5" max="5"/>
    <col width="18" customWidth="1" min="6" max="6"/>
  </cols>
  <sheetData>
    <row r="1">
      <c r="A1" s="1" t="inlineStr">
        <is>
          <t>俊才坊補習社 · 各表總數一覽</t>
        </is>
      </c>
    </row>
    <row r="2">
      <c r="A2" s="2" t="inlineStr">
        <is>
          <t>所有工作表關鍵總數 · 自動連動更新</t>
        </is>
      </c>
    </row>
    <row r="5" ht="30" customHeight="1">
      <c r="A5" s="10" t="inlineStr">
        <is>
          <t>模組</t>
        </is>
      </c>
      <c r="B5" s="10" t="inlineStr">
        <is>
          <t>總數項目</t>
        </is>
      </c>
      <c r="C5" s="10" t="inlineStr">
        <is>
          <t>數值</t>
        </is>
      </c>
      <c r="D5" s="10" t="inlineStr">
        <is>
          <t>單位</t>
        </is>
      </c>
      <c r="E5" s="10" t="inlineStr">
        <is>
          <t>來源工作表</t>
        </is>
      </c>
      <c r="F5" s="10" t="inlineStr">
        <is>
          <t>更新方式</t>
        </is>
      </c>
    </row>
    <row r="6">
      <c r="A6" s="11" t="inlineStr">
        <is>
          <t>學生資料庫</t>
        </is>
      </c>
      <c r="B6" s="11" t="inlineStr">
        <is>
          <t>在讀學生總數</t>
        </is>
      </c>
      <c r="C6" s="12">
        <f>COUNTIF(學生資料庫!R6:R200,"在讀")</f>
        <v/>
      </c>
      <c r="D6" s="11" t="inlineStr">
        <is>
          <t>人</t>
        </is>
      </c>
      <c r="E6" s="11" t="inlineStr">
        <is>
          <t>學生資料庫</t>
        </is>
      </c>
      <c r="F6" s="11" t="inlineStr">
        <is>
          <t>自動</t>
        </is>
      </c>
    </row>
    <row r="7">
      <c r="A7" s="13" t="inlineStr">
        <is>
          <t>學生資料庫</t>
        </is>
      </c>
      <c r="B7" s="13" t="inlineStr">
        <is>
          <t>欠費學生總數</t>
        </is>
      </c>
      <c r="C7" s="14">
        <f>COUNTIF(學生資料庫!J6:J200,"欠費")</f>
        <v/>
      </c>
      <c r="D7" s="13" t="inlineStr">
        <is>
          <t>人</t>
        </is>
      </c>
      <c r="E7" s="13" t="inlineStr">
        <is>
          <t>學生資料庫</t>
        </is>
      </c>
      <c r="F7" s="13" t="inlineStr">
        <is>
          <t>自動</t>
        </is>
      </c>
    </row>
    <row r="8">
      <c r="A8" s="11" t="inlineStr">
        <is>
          <t>學生資料庫</t>
        </is>
      </c>
      <c r="B8" s="11" t="inlineStr">
        <is>
          <t>月費總額</t>
        </is>
      </c>
      <c r="C8" s="12">
        <f>SUMIF(學生資料庫!R6:R200,"在讀",學生資料庫!I6:I200)</f>
        <v/>
      </c>
      <c r="D8" s="11" t="inlineStr">
        <is>
          <t>港元</t>
        </is>
      </c>
      <c r="E8" s="11" t="inlineStr">
        <is>
          <t>學生資料庫</t>
        </is>
      </c>
      <c r="F8" s="11" t="inlineStr">
        <is>
          <t>自動</t>
        </is>
      </c>
    </row>
    <row r="9">
      <c r="A9" s="13" t="inlineStr">
        <is>
          <t>學生資料庫</t>
        </is>
      </c>
      <c r="B9" s="13" t="inlineStr">
        <is>
          <t>欠費金額總數</t>
        </is>
      </c>
      <c r="C9" s="14">
        <f>SUM(學生資料庫!K6:K200)</f>
        <v/>
      </c>
      <c r="D9" s="13" t="inlineStr">
        <is>
          <t>港元</t>
        </is>
      </c>
      <c r="E9" s="13" t="inlineStr">
        <is>
          <t>學生資料庫</t>
        </is>
      </c>
      <c r="F9" s="13" t="inlineStr">
        <is>
          <t>自動</t>
        </is>
      </c>
    </row>
    <row r="10">
      <c r="A10" s="11" t="inlineStr">
        <is>
          <t>學生資料庫</t>
        </is>
      </c>
      <c r="B10" s="11" t="inlineStr">
        <is>
          <t>平均 ARPU</t>
        </is>
      </c>
      <c r="C10" s="12">
        <f>IFERROR(AVERAGEIF(學生資料庫!R6:R200,"在讀",學生資料庫!I6:I200),0)</f>
        <v/>
      </c>
      <c r="D10" s="11" t="inlineStr">
        <is>
          <t>港元</t>
        </is>
      </c>
      <c r="E10" s="11" t="inlineStr">
        <is>
          <t>學生資料庫</t>
        </is>
      </c>
      <c r="F10" s="11" t="inlineStr">
        <is>
          <t>自動</t>
        </is>
      </c>
    </row>
    <row r="11">
      <c r="A11" s="13" t="inlineStr">
        <is>
          <t>收費記錄</t>
        </is>
      </c>
      <c r="B11" s="13" t="inlineStr">
        <is>
          <t>累計應收總數</t>
        </is>
      </c>
      <c r="C11" s="14">
        <f>SUM(收費記錄!G6:G200)</f>
        <v/>
      </c>
      <c r="D11" s="13" t="inlineStr">
        <is>
          <t>港元</t>
        </is>
      </c>
      <c r="E11" s="13" t="inlineStr">
        <is>
          <t>收費記錄</t>
        </is>
      </c>
      <c r="F11" s="13" t="inlineStr">
        <is>
          <t>自動</t>
        </is>
      </c>
    </row>
    <row r="12">
      <c r="A12" s="11" t="inlineStr">
        <is>
          <t>收費記錄</t>
        </is>
      </c>
      <c r="B12" s="11" t="inlineStr">
        <is>
          <t>累計實收總數</t>
        </is>
      </c>
      <c r="C12" s="12">
        <f>SUM(收費記錄!H6:H200)</f>
        <v/>
      </c>
      <c r="D12" s="11" t="inlineStr">
        <is>
          <t>港元</t>
        </is>
      </c>
      <c r="E12" s="11" t="inlineStr">
        <is>
          <t>收費記錄</t>
        </is>
      </c>
      <c r="F12" s="11" t="inlineStr">
        <is>
          <t>自動</t>
        </is>
      </c>
    </row>
    <row r="13">
      <c r="A13" s="13" t="inlineStr">
        <is>
          <t>收費記錄</t>
        </is>
      </c>
      <c r="B13" s="13" t="inlineStr">
        <is>
          <t>累計未收總數</t>
        </is>
      </c>
      <c r="C13" s="14">
        <f>SUM(收費記錄!I6:I200)</f>
        <v/>
      </c>
      <c r="D13" s="13" t="inlineStr">
        <is>
          <t>港元</t>
        </is>
      </c>
      <c r="E13" s="13" t="inlineStr">
        <is>
          <t>收費記錄</t>
        </is>
      </c>
      <c r="F13" s="13" t="inlineStr">
        <is>
          <t>自動</t>
        </is>
      </c>
    </row>
    <row r="14">
      <c r="A14" s="11" t="inlineStr">
        <is>
          <t>收費記錄</t>
        </is>
      </c>
      <c r="B14" s="11" t="inlineStr">
        <is>
          <t>收款筆數</t>
        </is>
      </c>
      <c r="C14" s="12">
        <f>COUNTA(收費記錄!A6:A200)</f>
        <v/>
      </c>
      <c r="D14" s="11" t="inlineStr">
        <is>
          <t>筆</t>
        </is>
      </c>
      <c r="E14" s="11" t="inlineStr">
        <is>
          <t>收費記錄</t>
        </is>
      </c>
      <c r="F14" s="11" t="inlineStr">
        <is>
          <t>自動</t>
        </is>
      </c>
    </row>
    <row r="15">
      <c r="A15" s="13" t="inlineStr">
        <is>
          <t>收費記錄</t>
        </is>
      </c>
      <c r="B15" s="13" t="inlineStr">
        <is>
          <t>本月實收</t>
        </is>
      </c>
      <c r="C15" s="14">
        <f>SUMIF(收費記錄!E6:E200,TEXT(TODAY(),"YYYY-MM"),收費記錄!H6:H200)</f>
        <v/>
      </c>
      <c r="D15" s="13" t="inlineStr">
        <is>
          <t>港元</t>
        </is>
      </c>
      <c r="E15" s="13" t="inlineStr">
        <is>
          <t>收費記錄</t>
        </is>
      </c>
      <c r="F15" s="13" t="inlineStr">
        <is>
          <t>自動</t>
        </is>
      </c>
    </row>
    <row r="16">
      <c r="A16" s="11" t="inlineStr">
        <is>
          <t>出席記錄</t>
        </is>
      </c>
      <c r="B16" s="11" t="inlineStr">
        <is>
          <t>出席記錄總數</t>
        </is>
      </c>
      <c r="C16" s="12">
        <f>COUNTA(出席記錄!A6:A200)</f>
        <v/>
      </c>
      <c r="D16" s="11" t="inlineStr">
        <is>
          <t>筆</t>
        </is>
      </c>
      <c r="E16" s="11" t="inlineStr">
        <is>
          <t>出席記錄</t>
        </is>
      </c>
      <c r="F16" s="11" t="inlineStr">
        <is>
          <t>自動</t>
        </is>
      </c>
    </row>
    <row r="17">
      <c r="A17" s="13" t="inlineStr">
        <is>
          <t>出席記錄</t>
        </is>
      </c>
      <c r="B17" s="13" t="inlineStr">
        <is>
          <t>出席人次</t>
        </is>
      </c>
      <c r="C17" s="14">
        <f>COUNTIF(出席記錄!H6:H200,"出席")</f>
        <v/>
      </c>
      <c r="D17" s="13" t="inlineStr">
        <is>
          <t>次</t>
        </is>
      </c>
      <c r="E17" s="13" t="inlineStr">
        <is>
          <t>出席記錄</t>
        </is>
      </c>
      <c r="F17" s="13" t="inlineStr">
        <is>
          <t>自動</t>
        </is>
      </c>
    </row>
    <row r="18">
      <c r="A18" s="11" t="inlineStr">
        <is>
          <t>出席記錄</t>
        </is>
      </c>
      <c r="B18" s="11" t="inlineStr">
        <is>
          <t>遲到人次</t>
        </is>
      </c>
      <c r="C18" s="12">
        <f>COUNTIF(出席記錄!H6:H200,"遲到")</f>
        <v/>
      </c>
      <c r="D18" s="11" t="inlineStr">
        <is>
          <t>次</t>
        </is>
      </c>
      <c r="E18" s="11" t="inlineStr">
        <is>
          <t>出席記錄</t>
        </is>
      </c>
      <c r="F18" s="11" t="inlineStr">
        <is>
          <t>自動</t>
        </is>
      </c>
    </row>
    <row r="19">
      <c r="A19" s="13" t="inlineStr">
        <is>
          <t>出席記錄</t>
        </is>
      </c>
      <c r="B19" s="13" t="inlineStr">
        <is>
          <t>缺席人次</t>
        </is>
      </c>
      <c r="C19" s="14">
        <f>COUNTIF(出席記錄!H6:H200,"缺席")</f>
        <v/>
      </c>
      <c r="D19" s="13" t="inlineStr">
        <is>
          <t>次</t>
        </is>
      </c>
      <c r="E19" s="13" t="inlineStr">
        <is>
          <t>出席記錄</t>
        </is>
      </c>
      <c r="F19" s="13" t="inlineStr">
        <is>
          <t>自動</t>
        </is>
      </c>
    </row>
    <row r="20">
      <c r="A20" s="11" t="inlineStr">
        <is>
          <t>排課表</t>
        </is>
      </c>
      <c r="B20" s="11" t="inlineStr">
        <is>
          <t>開班課程總數</t>
        </is>
      </c>
      <c r="C20" s="12">
        <f>COUNTA(排課表!A6:A200)</f>
        <v/>
      </c>
      <c r="D20" s="11" t="inlineStr">
        <is>
          <t>班</t>
        </is>
      </c>
      <c r="E20" s="11" t="inlineStr">
        <is>
          <t>排課表</t>
        </is>
      </c>
      <c r="F20" s="11" t="inlineStr">
        <is>
          <t>自動</t>
        </is>
      </c>
    </row>
    <row r="21">
      <c r="A21" s="13" t="inlineStr">
        <is>
          <t>排課表</t>
        </is>
      </c>
      <c r="B21" s="13" t="inlineStr">
        <is>
          <t>已報學生總數</t>
        </is>
      </c>
      <c r="C21" s="14">
        <f>SUM(排課表!I6:I200)</f>
        <v/>
      </c>
      <c r="D21" s="13" t="inlineStr">
        <is>
          <t>人</t>
        </is>
      </c>
      <c r="E21" s="13" t="inlineStr">
        <is>
          <t>排課表</t>
        </is>
      </c>
      <c r="F21" s="13" t="inlineStr">
        <is>
          <t>自動</t>
        </is>
      </c>
    </row>
    <row r="22">
      <c r="A22" s="11" t="inlineStr">
        <is>
          <t>排課表</t>
        </is>
      </c>
      <c r="B22" s="11" t="inlineStr">
        <is>
          <t>預估月營收總數</t>
        </is>
      </c>
      <c r="C22" s="12">
        <f>SUM(排課表!M6:M200)</f>
        <v/>
      </c>
      <c r="D22" s="11" t="inlineStr">
        <is>
          <t>港元</t>
        </is>
      </c>
      <c r="E22" s="11" t="inlineStr">
        <is>
          <t>排課表</t>
        </is>
      </c>
      <c r="F22" s="11" t="inlineStr">
        <is>
          <t>自動</t>
        </is>
      </c>
    </row>
    <row r="23">
      <c r="A23" s="13" t="inlineStr">
        <is>
          <t>排課表</t>
        </is>
      </c>
      <c r="B23" s="13" t="inlineStr">
        <is>
          <t>候補總數</t>
        </is>
      </c>
      <c r="C23" s="14">
        <f>SUM(排課表!J6:J200)</f>
        <v/>
      </c>
      <c r="D23" s="13" t="inlineStr">
        <is>
          <t>人</t>
        </is>
      </c>
      <c r="E23" s="13" t="inlineStr">
        <is>
          <t>排課表</t>
        </is>
      </c>
      <c r="F23" s="13" t="inlineStr">
        <is>
          <t>自動</t>
        </is>
      </c>
    </row>
    <row r="24">
      <c r="A24" s="11" t="inlineStr">
        <is>
          <t>課室使用表</t>
        </is>
      </c>
      <c r="B24" s="11" t="inlineStr">
        <is>
          <t>空閒時段總數</t>
        </is>
      </c>
      <c r="C24" s="12">
        <f>COUNTIF(課室使用表!D6:D200,"空閒")+COUNTIF(課室使用表!F6:F200,"空閒")+COUNTIF(課室使用表!H6:H200,"空閒")</f>
        <v/>
      </c>
      <c r="D24" s="11" t="inlineStr">
        <is>
          <t>個</t>
        </is>
      </c>
      <c r="E24" s="11" t="inlineStr">
        <is>
          <t>課室使用表</t>
        </is>
      </c>
      <c r="F24" s="11" t="inlineStr">
        <is>
          <t>自動</t>
        </is>
      </c>
    </row>
    <row r="25">
      <c r="A25" s="13" t="inlineStr">
        <is>
          <t>財務月結</t>
        </is>
      </c>
      <c r="B25" s="13" t="inlineStr">
        <is>
          <t>年度營收總數</t>
        </is>
      </c>
      <c r="C25" s="14">
        <f>SUM(財務月結!D6:D200)</f>
        <v/>
      </c>
      <c r="D25" s="13" t="inlineStr">
        <is>
          <t>港元</t>
        </is>
      </c>
      <c r="E25" s="13" t="inlineStr">
        <is>
          <t>財務月結</t>
        </is>
      </c>
      <c r="F25" s="13" t="inlineStr">
        <is>
          <t>自動</t>
        </is>
      </c>
    </row>
    <row r="26">
      <c r="A26" s="11" t="inlineStr">
        <is>
          <t>財務月結</t>
        </is>
      </c>
      <c r="B26" s="11" t="inlineStr">
        <is>
          <t>年度成本總數</t>
        </is>
      </c>
      <c r="C26" s="12">
        <f>SUM(財務月結!L6:L200)</f>
        <v/>
      </c>
      <c r="D26" s="11" t="inlineStr">
        <is>
          <t>港元</t>
        </is>
      </c>
      <c r="E26" s="11" t="inlineStr">
        <is>
          <t>財務月結</t>
        </is>
      </c>
      <c r="F26" s="11" t="inlineStr">
        <is>
          <t>自動</t>
        </is>
      </c>
    </row>
    <row r="27">
      <c r="A27" s="13" t="inlineStr">
        <is>
          <t>財務月結</t>
        </is>
      </c>
      <c r="B27" s="13" t="inlineStr">
        <is>
          <t>年度淨利總數</t>
        </is>
      </c>
      <c r="C27" s="14">
        <f>SUM(財務月結!M6:M200)</f>
        <v/>
      </c>
      <c r="D27" s="13" t="inlineStr">
        <is>
          <t>港元</t>
        </is>
      </c>
      <c r="E27" s="13" t="inlineStr">
        <is>
          <t>財務月結</t>
        </is>
      </c>
      <c r="F27" s="13" t="inlineStr">
        <is>
          <t>自動</t>
        </is>
      </c>
    </row>
    <row r="28">
      <c r="A28" s="11" t="inlineStr">
        <is>
          <t>學習進度</t>
        </is>
      </c>
      <c r="B28" s="11" t="inlineStr">
        <is>
          <t>進度報告總數</t>
        </is>
      </c>
      <c r="C28" s="12">
        <f>COUNTA(學習進度!B6:B200)</f>
        <v/>
      </c>
      <c r="D28" s="11" t="inlineStr">
        <is>
          <t>份</t>
        </is>
      </c>
      <c r="E28" s="11" t="inlineStr">
        <is>
          <t>學習進度</t>
        </is>
      </c>
      <c r="F28" s="11" t="inlineStr">
        <is>
          <t>自動</t>
        </is>
      </c>
    </row>
    <row r="29">
      <c r="A29" s="13" t="inlineStr">
        <is>
          <t>學習進度</t>
        </is>
      </c>
      <c r="B29" s="13" t="inlineStr">
        <is>
          <t>待發送總數</t>
        </is>
      </c>
      <c r="C29" s="14">
        <f>COUNTIF(學習進度!N6:N200,"✗")</f>
        <v/>
      </c>
      <c r="D29" s="13" t="inlineStr">
        <is>
          <t>份</t>
        </is>
      </c>
      <c r="E29" s="13" t="inlineStr">
        <is>
          <t>學習進度</t>
        </is>
      </c>
      <c r="F29" s="13" t="inlineStr">
        <is>
          <t>自動</t>
        </is>
      </c>
    </row>
    <row r="30">
      <c r="A30" s="11" t="inlineStr">
        <is>
          <t>每日行政</t>
        </is>
      </c>
      <c r="B30" s="11" t="inlineStr">
        <is>
          <t>任務總數</t>
        </is>
      </c>
      <c r="C30" s="12">
        <f>COUNTA(每日行政!B6:B25)</f>
        <v/>
      </c>
      <c r="D30" s="11" t="inlineStr">
        <is>
          <t>項</t>
        </is>
      </c>
      <c r="E30" s="11" t="inlineStr">
        <is>
          <t>每日行政</t>
        </is>
      </c>
      <c r="F30" s="11" t="inlineStr">
        <is>
          <t>自動</t>
        </is>
      </c>
    </row>
    <row r="31">
      <c r="A31" s="13" t="inlineStr">
        <is>
          <t>每日行政</t>
        </is>
      </c>
      <c r="B31" s="13" t="inlineStr">
        <is>
          <t>已完成總數</t>
        </is>
      </c>
      <c r="C31" s="14">
        <f>COUNTIF(每日行政!C6:C25,"✓")</f>
        <v/>
      </c>
      <c r="D31" s="13" t="inlineStr">
        <is>
          <t>項</t>
        </is>
      </c>
      <c r="E31" s="13" t="inlineStr">
        <is>
          <t>每日行政</t>
        </is>
      </c>
      <c r="F31" s="13" t="inlineStr">
        <is>
          <t>自動</t>
        </is>
      </c>
    </row>
    <row r="32">
      <c r="A32" s="11" t="inlineStr">
        <is>
          <t>家長通訊</t>
        </is>
      </c>
      <c r="B32" s="11" t="inlineStr">
        <is>
          <t>通訊記錄總數</t>
        </is>
      </c>
      <c r="C32" s="12">
        <f>COUNTA(家長通訊!A6:A200)</f>
        <v/>
      </c>
      <c r="D32" s="11" t="inlineStr">
        <is>
          <t>則</t>
        </is>
      </c>
      <c r="E32" s="11" t="inlineStr">
        <is>
          <t>家長通訊</t>
        </is>
      </c>
      <c r="F32" s="11" t="inlineStr">
        <is>
          <t>自動</t>
        </is>
      </c>
    </row>
    <row r="33">
      <c r="A33" s="13" t="inlineStr">
        <is>
          <t>家長通訊</t>
        </is>
      </c>
      <c r="B33" s="13" t="inlineStr">
        <is>
          <t>待處理總數</t>
        </is>
      </c>
      <c r="C33" s="14">
        <f>COUNTIF(家長通訊!H6:H200,"待處理")+COUNTIF(家長通訊!H6:H200,"跟進中")</f>
        <v/>
      </c>
      <c r="D33" s="13" t="inlineStr">
        <is>
          <t>則</t>
        </is>
      </c>
      <c r="E33" s="13" t="inlineStr">
        <is>
          <t>家長通訊</t>
        </is>
      </c>
      <c r="F33" s="13" t="inlineStr">
        <is>
          <t>自動</t>
        </is>
      </c>
    </row>
    <row r="34">
      <c r="A34" s="11" t="inlineStr">
        <is>
          <t>導師資料</t>
        </is>
      </c>
      <c r="B34" s="11" t="inlineStr">
        <is>
          <t>在職導師總數</t>
        </is>
      </c>
      <c r="C34" s="12">
        <f>COUNTIF(導師資料!M6:M200,"在職")</f>
        <v/>
      </c>
      <c r="D34" s="11" t="inlineStr">
        <is>
          <t>人</t>
        </is>
      </c>
      <c r="E34" s="11" t="inlineStr">
        <is>
          <t>導師資料</t>
        </is>
      </c>
      <c r="F34" s="11" t="inlineStr">
        <is>
          <t>自動</t>
        </is>
      </c>
    </row>
    <row r="35">
      <c r="A35" s="13" t="inlineStr">
        <is>
          <t>導師資料</t>
        </is>
      </c>
      <c r="B35" s="13" t="inlineStr">
        <is>
          <t>負責學生總數</t>
        </is>
      </c>
      <c r="C35" s="14">
        <f>SUM(導師資料!F6:F200)</f>
        <v/>
      </c>
      <c r="D35" s="13" t="inlineStr">
        <is>
          <t>人</t>
        </is>
      </c>
      <c r="E35" s="13" t="inlineStr">
        <is>
          <t>導師資料</t>
        </is>
      </c>
      <c r="F35" s="13" t="inlineStr">
        <is>
          <t>自動</t>
        </is>
      </c>
    </row>
    <row r="36">
      <c r="A36" s="11" t="inlineStr">
        <is>
          <t>導師資料</t>
        </is>
      </c>
      <c r="B36" s="11" t="inlineStr">
        <is>
          <t>全職月薪總數</t>
        </is>
      </c>
      <c r="C36" s="12">
        <f>SUMIF(導師資料!C6:C200,"全職導師",導師資料!H6:H200)</f>
        <v/>
      </c>
      <c r="D36" s="11" t="inlineStr">
        <is>
          <t>港元</t>
        </is>
      </c>
      <c r="E36" s="11" t="inlineStr">
        <is>
          <t>導師資料</t>
        </is>
      </c>
      <c r="F36" s="11" t="inlineStr">
        <is>
          <t>自動</t>
        </is>
      </c>
    </row>
    <row r="203">
      <c r="A203" s="15" t="inlineStr">
        <is>
          <t>📊 總數一覽 · 跨表匯總</t>
        </is>
      </c>
      <c r="B203" s="16" t="n"/>
      <c r="C203" s="16" t="n"/>
      <c r="D203" s="16" t="n"/>
    </row>
    <row r="204">
      <c r="A204" s="17" t="inlineStr">
        <is>
          <t>在讀學生總數</t>
        </is>
      </c>
      <c r="B204" s="18" t="n"/>
      <c r="C204" s="19">
        <f>COUNTIF(學生資料庫!R6:R200,"在讀")</f>
        <v/>
      </c>
    </row>
    <row r="205">
      <c r="A205" s="17" t="inlineStr">
        <is>
          <t>本月實收總數</t>
        </is>
      </c>
      <c r="B205" s="18" t="n"/>
      <c r="C205" s="19">
        <f>SUMIF(收費記錄!E6:E200,TEXT(TODAY(),"YYYY-MM"),收費記錄!H6:H200)</f>
        <v/>
      </c>
    </row>
    <row r="206">
      <c r="A206" s="17" t="inlineStr">
        <is>
          <t>年度淨利總數</t>
        </is>
      </c>
      <c r="B206" s="18" t="n"/>
      <c r="C206" s="19">
        <f>SUM(財務月結!M6:M200)</f>
        <v/>
      </c>
    </row>
    <row r="207">
      <c r="A207" s="17" t="inlineStr">
        <is>
          <t>預估月營收總數</t>
        </is>
      </c>
      <c r="B207" s="18" t="n"/>
      <c r="C207" s="19">
        <f>SUM(排課表!M6:M200)</f>
        <v/>
      </c>
    </row>
  </sheetData>
  <mergeCells count="7">
    <mergeCell ref="A2:F2"/>
    <mergeCell ref="A205:B205"/>
    <mergeCell ref="A204:B204"/>
    <mergeCell ref="A1:F1"/>
    <mergeCell ref="A207:B207"/>
    <mergeCell ref="A206:B206"/>
    <mergeCell ref="A203:D20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</cols>
  <sheetData>
    <row r="1">
      <c r="A1" s="20" t="inlineStr">
        <is>
          <t>俊才坊行政系統</t>
        </is>
      </c>
    </row>
    <row r="2">
      <c r="A2" s="2" t="inlineStr">
        <is>
          <t>Upgrade Edition v3.0 · 各表自動計算總數</t>
        </is>
      </c>
    </row>
    <row r="4">
      <c r="A4" s="21" t="inlineStr">
        <is>
          <t>工作表</t>
        </is>
      </c>
      <c r="B4" s="21" t="inlineStr">
        <is>
          <t>總數統計項目</t>
        </is>
      </c>
      <c r="C4" s="21" t="inlineStr">
        <is>
          <t>升級功能</t>
        </is>
      </c>
    </row>
    <row r="5">
      <c r="A5" s="22" t="inlineStr">
        <is>
          <t>儀表板</t>
        </is>
      </c>
      <c r="B5" s="23" t="inlineStr">
        <is>
          <t>6 項 KPI + 6 項總數速覽</t>
        </is>
      </c>
      <c r="C5" s="3" t="inlineStr">
        <is>
          <t>每日開啟，連動所有工作表</t>
        </is>
      </c>
    </row>
    <row r="6">
      <c r="A6" s="22" t="inlineStr">
        <is>
          <t>總數一覽</t>
        </is>
      </c>
      <c r="B6" s="23" t="inlineStr">
        <is>
          <t>31 項跨表總數自動匯總</t>
        </is>
      </c>
      <c r="C6" s="3" t="inlineStr">
        <is>
          <t>一頁看清中心所有關鍵數字</t>
        </is>
      </c>
    </row>
    <row r="7">
      <c r="A7" s="22" t="inlineStr">
        <is>
          <t>學生資料庫</t>
        </is>
      </c>
      <c r="B7" s="23" t="inlineStr">
        <is>
          <t>在讀/欠費/月費總額/ARPU/欠費金額</t>
        </is>
      </c>
      <c r="C7" s="3" t="inlineStr">
        <is>
          <t>底部第203行起 · 自動更新</t>
        </is>
      </c>
    </row>
    <row r="8">
      <c r="A8" s="22" t="inlineStr">
        <is>
          <t>收費記錄</t>
        </is>
      </c>
      <c r="B8" s="23" t="inlineStr">
        <is>
          <t>應收/實收/未收/本月/已付清/未付</t>
        </is>
      </c>
      <c r="C8" s="3" t="inlineStr">
        <is>
          <t>每筆收款即時累計</t>
        </is>
      </c>
    </row>
    <row r="9">
      <c r="A9" s="22" t="inlineStr">
        <is>
          <t>出席記錄</t>
        </is>
      </c>
      <c r="B9" s="23" t="inlineStr">
        <is>
          <t>出席/遲到/缺席/請假/出席率/功課完成</t>
        </is>
      </c>
      <c r="C9" s="3" t="inlineStr">
        <is>
          <t>每日放學後更新</t>
        </is>
      </c>
    </row>
    <row r="10">
      <c r="A10" s="22" t="inlineStr">
        <is>
          <t>排課表</t>
        </is>
      </c>
      <c r="B10" s="23" t="inlineStr">
        <is>
          <t>班額/已報/候補/營收/滿班率/各班型</t>
        </is>
      </c>
      <c r="C10" s="3" t="inlineStr">
        <is>
          <t>每學期更新</t>
        </is>
      </c>
    </row>
    <row r="11">
      <c r="A11" s="22" t="inlineStr">
        <is>
          <t>課室使用表</t>
        </is>
      </c>
      <c r="B11" s="23" t="inlineStr">
        <is>
          <t>各室空閒/使用中/平均呎產值</t>
        </is>
      </c>
      <c r="C11" s="3" t="inlineStr">
        <is>
          <t>規劃 VIP 時段</t>
        </is>
      </c>
    </row>
    <row r="12">
      <c r="A12" s="22" t="inlineStr">
        <is>
          <t>財務月結</t>
        </is>
      </c>
      <c r="B12" s="23" t="inlineStr">
        <is>
          <t>年度營收/成本/淨利/平均/最高</t>
        </is>
      </c>
      <c r="C12" s="3" t="inlineStr">
        <is>
          <t>每月底結算</t>
        </is>
      </c>
    </row>
    <row r="13">
      <c r="A13" s="22" t="inlineStr">
        <is>
          <t>學習進度</t>
        </is>
      </c>
      <c r="B13" s="23" t="inlineStr">
        <is>
          <t>報告/已發送/待發送/進退步/平均分</t>
        </is>
      </c>
      <c r="C13" s="3" t="inlineStr">
        <is>
          <t>每月25-28日</t>
        </is>
      </c>
    </row>
    <row r="14">
      <c r="A14" s="22" t="inlineStr">
        <is>
          <t>每日行政</t>
        </is>
      </c>
      <c r="B14" s="23" t="inlineStr">
        <is>
          <t>任務/完成/未完成/用時/完成率</t>
        </is>
      </c>
      <c r="C14" s="3" t="inlineStr">
        <is>
          <t>每日執行</t>
        </is>
      </c>
    </row>
    <row r="15">
      <c r="A15" s="22" t="inlineStr">
        <is>
          <t>家長通訊</t>
        </is>
      </c>
      <c r="B15" s="23" t="inlineStr">
        <is>
          <t>通訊/完成/跟進/待處理/逾期/招生</t>
        </is>
      </c>
      <c r="C15" s="3" t="inlineStr">
        <is>
          <t>每次通訊後記錄</t>
        </is>
      </c>
    </row>
    <row r="16">
      <c r="A16" s="22" t="inlineStr">
        <is>
          <t>導師資料</t>
        </is>
      </c>
      <c r="B16" s="23" t="inlineStr">
        <is>
          <t>在職/全職/兼職/學生數/月薪/合約</t>
        </is>
      </c>
      <c r="C16" s="3" t="inlineStr">
        <is>
          <t>接手時核查</t>
        </is>
      </c>
    </row>
    <row r="19">
      <c r="A19" s="6" t="inlineStr">
        <is>
          <t>總數位置</t>
        </is>
      </c>
    </row>
    <row r="20">
      <c r="A20" s="23" t="inlineStr">
        <is>
          <t>每個工作表底部第 203 行起有金色「📊 總數統計」區塊，公式覆蓋第 6–200 行，新增資料會自動計入總數。</t>
        </is>
      </c>
    </row>
  </sheetData>
  <mergeCells count="1">
    <mergeCell ref="A20:C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0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13" customWidth="1" min="4" max="4"/>
    <col width="5" customWidth="1" min="5" max="5"/>
    <col width="16" customWidth="1" min="6" max="6"/>
    <col width="8" customWidth="1" min="7" max="7"/>
    <col width="8" customWidth="1" min="8" max="8"/>
    <col width="8" customWidth="1" min="9" max="9"/>
    <col width="9" customWidth="1" min="10" max="10"/>
    <col width="9" customWidth="1" min="11" max="11"/>
    <col width="9" customWidth="1" min="12" max="12"/>
    <col width="12" customWidth="1" min="13" max="13"/>
    <col width="6" customWidth="1" min="14" max="14"/>
    <col width="11" customWidth="1" min="15" max="15"/>
    <col width="11" customWidth="1" min="16" max="16"/>
    <col width="9" customWidth="1" min="17" max="17"/>
    <col width="8" customWidth="1" min="18" max="18"/>
    <col width="8" customWidth="1" min="19" max="19"/>
    <col width="10" customWidth="1" min="20" max="20"/>
    <col width="16" customWidth="1" min="21" max="21"/>
  </cols>
  <sheetData>
    <row r="1">
      <c r="A1" s="1" t="inlineStr">
        <is>
          <t>俊才坊補習社 · 學生資料庫</t>
        </is>
      </c>
    </row>
    <row r="2">
      <c r="A2" s="2" t="inlineStr">
        <is>
          <t>★ 接手首週必完成 · 底部自動計算總數</t>
        </is>
      </c>
    </row>
    <row r="5" ht="30" customHeight="1">
      <c r="A5" s="10" t="inlineStr">
        <is>
          <t>學號</t>
        </is>
      </c>
      <c r="B5" s="10" t="inlineStr">
        <is>
          <t>中文姓名</t>
        </is>
      </c>
      <c r="C5" s="10" t="inlineStr">
        <is>
          <t>英文姓名</t>
        </is>
      </c>
      <c r="D5" s="10" t="inlineStr">
        <is>
          <t>就讀學校</t>
        </is>
      </c>
      <c r="E5" s="10" t="inlineStr">
        <is>
          <t>年級</t>
        </is>
      </c>
      <c r="F5" s="10" t="inlineStr">
        <is>
          <t>報讀課程</t>
        </is>
      </c>
      <c r="G5" s="10" t="inlineStr">
        <is>
          <t>課程類別</t>
        </is>
      </c>
      <c r="H5" s="10" t="inlineStr">
        <is>
          <t>上課日</t>
        </is>
      </c>
      <c r="I5" s="10" t="inlineStr">
        <is>
          <t>月費</t>
        </is>
      </c>
      <c r="J5" s="10" t="inlineStr">
        <is>
          <t>付款狀態</t>
        </is>
      </c>
      <c r="K5" s="10" t="inlineStr">
        <is>
          <t>欠費金額</t>
        </is>
      </c>
      <c r="L5" s="10" t="inlineStr">
        <is>
          <t>家長姓名</t>
        </is>
      </c>
      <c r="M5" s="10" t="inlineStr">
        <is>
          <t>家長電話</t>
        </is>
      </c>
      <c r="N5" s="10" t="inlineStr">
        <is>
          <t>WhatsApp</t>
        </is>
      </c>
      <c r="O5" s="10" t="inlineStr">
        <is>
          <t>入學日期</t>
        </is>
      </c>
      <c r="P5" s="10" t="inlineStr">
        <is>
          <t>合約到期</t>
        </is>
      </c>
      <c r="Q5" s="10" t="inlineStr">
        <is>
          <t>合約剩餘天數</t>
        </is>
      </c>
      <c r="R5" s="10" t="inlineStr">
        <is>
          <t>學生狀態</t>
        </is>
      </c>
      <c r="S5" s="10" t="inlineStr">
        <is>
          <t>導師</t>
        </is>
      </c>
      <c r="T5" s="10" t="inlineStr">
        <is>
          <t>轉介來源</t>
        </is>
      </c>
      <c r="U5" s="10" t="inlineStr">
        <is>
          <t>備註</t>
        </is>
      </c>
    </row>
    <row r="6">
      <c r="A6" s="11" t="inlineStr">
        <is>
          <t>S001</t>
        </is>
      </c>
      <c r="B6" s="11" t="inlineStr">
        <is>
          <t>陳小明</t>
        </is>
      </c>
      <c r="C6" s="11" t="inlineStr">
        <is>
          <t>Chan Siu Ming</t>
        </is>
      </c>
      <c r="D6" s="11" t="inlineStr">
        <is>
          <t>九龍塘官小</t>
        </is>
      </c>
      <c r="E6" s="11" t="inlineStr">
        <is>
          <t>P5</t>
        </is>
      </c>
      <c r="F6" s="11" t="inlineStr">
        <is>
          <t>小學功課輔導（每日）</t>
        </is>
      </c>
      <c r="G6" s="11" t="inlineStr">
        <is>
          <t>功課輔導</t>
        </is>
      </c>
      <c r="H6" s="11" t="inlineStr">
        <is>
          <t>一至五</t>
        </is>
      </c>
      <c r="I6" s="11" t="n">
        <v>1980</v>
      </c>
      <c r="J6" s="11" t="inlineStr">
        <is>
          <t>已付</t>
        </is>
      </c>
      <c r="K6" s="11" t="n">
        <v>0</v>
      </c>
      <c r="L6" s="11" t="inlineStr">
        <is>
          <t>陳太</t>
        </is>
      </c>
      <c r="M6" s="11" t="inlineStr">
        <is>
          <t>9123 4567</t>
        </is>
      </c>
      <c r="N6" s="11" t="inlineStr">
        <is>
          <t>✓</t>
        </is>
      </c>
      <c r="O6" s="11" t="inlineStr">
        <is>
          <t>2024-09-01</t>
        </is>
      </c>
      <c r="P6" s="11" t="inlineStr">
        <is>
          <t>2026-08-31</t>
        </is>
      </c>
      <c r="Q6" s="24">
        <f>IF(P6="","",P6-TODAY())</f>
        <v/>
      </c>
      <c r="R6" s="11" t="inlineStr">
        <is>
          <t>在讀</t>
        </is>
      </c>
      <c r="S6" s="11" t="inlineStr">
        <is>
          <t>導師A</t>
        </is>
      </c>
      <c r="T6" s="11" t="inlineStr">
        <is>
          <t>舊生</t>
        </is>
      </c>
      <c r="U6" s="11" t="inlineStr"/>
    </row>
    <row r="7">
      <c r="A7" s="13" t="inlineStr">
        <is>
          <t>S002</t>
        </is>
      </c>
      <c r="B7" s="13" t="inlineStr">
        <is>
          <t>李美儀</t>
        </is>
      </c>
      <c r="C7" s="13" t="inlineStr">
        <is>
          <t>Lee Mei Yee</t>
        </is>
      </c>
      <c r="D7" s="13" t="inlineStr">
        <is>
          <t>喇沙書院</t>
        </is>
      </c>
      <c r="E7" s="13" t="inlineStr">
        <is>
          <t>S3</t>
        </is>
      </c>
      <c r="F7" s="13" t="inlineStr">
        <is>
          <t>中學功課+DSE英文</t>
        </is>
      </c>
      <c r="G7" s="13" t="inlineStr">
        <is>
          <t>功課+DSE</t>
        </is>
      </c>
      <c r="H7" s="13" t="inlineStr">
        <is>
          <t>一至五</t>
        </is>
      </c>
      <c r="I7" s="13" t="n">
        <v>3180</v>
      </c>
      <c r="J7" s="13" t="inlineStr">
        <is>
          <t>已付</t>
        </is>
      </c>
      <c r="K7" s="13" t="n">
        <v>0</v>
      </c>
      <c r="L7" s="13" t="inlineStr">
        <is>
          <t>李先生</t>
        </is>
      </c>
      <c r="M7" s="13" t="inlineStr">
        <is>
          <t>6234 5678</t>
        </is>
      </c>
      <c r="N7" s="13" t="inlineStr">
        <is>
          <t>✓</t>
        </is>
      </c>
      <c r="O7" s="13" t="inlineStr">
        <is>
          <t>2023-02-01</t>
        </is>
      </c>
      <c r="P7" s="13" t="inlineStr">
        <is>
          <t>2026-08-31</t>
        </is>
      </c>
      <c r="Q7" s="25">
        <f>IF(P7="","",P7-TODAY())</f>
        <v/>
      </c>
      <c r="R7" s="13" t="inlineStr">
        <is>
          <t>在讀</t>
        </is>
      </c>
      <c r="S7" s="13" t="inlineStr">
        <is>
          <t>導師B</t>
        </is>
      </c>
      <c r="T7" s="13" t="inlineStr">
        <is>
          <t>舊生</t>
        </is>
      </c>
      <c r="U7" s="13" t="inlineStr"/>
    </row>
    <row r="8">
      <c r="A8" s="11" t="inlineStr">
        <is>
          <t>S003</t>
        </is>
      </c>
      <c r="B8" s="11" t="inlineStr">
        <is>
          <t>黃俊軒</t>
        </is>
      </c>
      <c r="C8" s="11" t="inlineStr">
        <is>
          <t>Wong Chun Hin</t>
        </is>
      </c>
      <c r="D8" s="11" t="inlineStr">
        <is>
          <t>瑪利諾中學</t>
        </is>
      </c>
      <c r="E8" s="11" t="inlineStr">
        <is>
          <t>S5</t>
        </is>
      </c>
      <c r="F8" s="11" t="inlineStr">
        <is>
          <t>DSE三科套餐</t>
        </is>
      </c>
      <c r="G8" s="11" t="inlineStr">
        <is>
          <t>DSE</t>
        </is>
      </c>
      <c r="H8" s="11" t="inlineStr">
        <is>
          <t>一至六</t>
        </is>
      </c>
      <c r="I8" s="11" t="n">
        <v>3180</v>
      </c>
      <c r="J8" s="11" t="inlineStr">
        <is>
          <t>欠費</t>
        </is>
      </c>
      <c r="K8" s="11" t="n">
        <v>3180</v>
      </c>
      <c r="L8" s="11" t="inlineStr">
        <is>
          <t>黃太</t>
        </is>
      </c>
      <c r="M8" s="11" t="inlineStr">
        <is>
          <t>5345 6789</t>
        </is>
      </c>
      <c r="N8" s="11" t="inlineStr">
        <is>
          <t>✓</t>
        </is>
      </c>
      <c r="O8" s="11" t="inlineStr">
        <is>
          <t>2024-01-15</t>
        </is>
      </c>
      <c r="P8" s="11" t="inlineStr">
        <is>
          <t>2026-08-31</t>
        </is>
      </c>
      <c r="Q8" s="24">
        <f>IF(P8="","",P8-TODAY())</f>
        <v/>
      </c>
      <c r="R8" s="11" t="inlineStr">
        <is>
          <t>在讀</t>
        </is>
      </c>
      <c r="S8" s="11" t="inlineStr">
        <is>
          <t>導師A</t>
        </is>
      </c>
      <c r="T8" s="11" t="inlineStr">
        <is>
          <t>舊生</t>
        </is>
      </c>
      <c r="U8" s="11" t="inlineStr"/>
    </row>
    <row r="9">
      <c r="A9" s="13" t="inlineStr">
        <is>
          <t>S004</t>
        </is>
      </c>
      <c r="B9" s="13" t="inlineStr">
        <is>
          <t>張詠琳</t>
        </is>
      </c>
      <c r="C9" s="13" t="inlineStr">
        <is>
          <t>Cheung Wing Lam</t>
        </is>
      </c>
      <c r="D9" s="13" t="inlineStr">
        <is>
          <t>嘉諾撒聖心</t>
        </is>
      </c>
      <c r="E9" s="13" t="inlineStr">
        <is>
          <t>P3</t>
        </is>
      </c>
      <c r="F9" s="13" t="inlineStr">
        <is>
          <t>小學功課（每週3日）</t>
        </is>
      </c>
      <c r="G9" s="13" t="inlineStr">
        <is>
          <t>功課輔導</t>
        </is>
      </c>
      <c r="H9" s="13" t="inlineStr">
        <is>
          <t>一三五</t>
        </is>
      </c>
      <c r="I9" s="13" t="n">
        <v>1580</v>
      </c>
      <c r="J9" s="13" t="inlineStr">
        <is>
          <t>已付</t>
        </is>
      </c>
      <c r="K9" s="13" t="n">
        <v>0</v>
      </c>
      <c r="L9" s="13" t="inlineStr">
        <is>
          <t>張太</t>
        </is>
      </c>
      <c r="M9" s="13" t="inlineStr">
        <is>
          <t>9876 5432</t>
        </is>
      </c>
      <c r="N9" s="13" t="inlineStr">
        <is>
          <t>✓</t>
        </is>
      </c>
      <c r="O9" s="13" t="inlineStr">
        <is>
          <t>2025-09-01</t>
        </is>
      </c>
      <c r="P9" s="13" t="inlineStr">
        <is>
          <t>2026-08-31</t>
        </is>
      </c>
      <c r="Q9" s="25">
        <f>IF(P9="","",P9-TODAY())</f>
        <v/>
      </c>
      <c r="R9" s="13" t="inlineStr">
        <is>
          <t>在讀</t>
        </is>
      </c>
      <c r="S9" s="13" t="inlineStr">
        <is>
          <t>導師A</t>
        </is>
      </c>
      <c r="T9" s="13" t="inlineStr">
        <is>
          <t>舊生帶新生</t>
        </is>
      </c>
      <c r="U9" s="13" t="inlineStr"/>
    </row>
    <row r="10">
      <c r="A10" s="11" t="inlineStr">
        <is>
          <t>S005</t>
        </is>
      </c>
      <c r="B10" s="11" t="inlineStr">
        <is>
          <t>何家樂</t>
        </is>
      </c>
      <c r="C10" s="11" t="inlineStr">
        <is>
          <t>Ho Ka Lok</t>
        </is>
      </c>
      <c r="D10" s="11" t="inlineStr">
        <is>
          <t>拔萃男書院</t>
        </is>
      </c>
      <c r="E10" s="11" t="inlineStr">
        <is>
          <t>S6</t>
        </is>
      </c>
      <c r="F10" s="11" t="inlineStr">
        <is>
          <t>DSE英文+數學</t>
        </is>
      </c>
      <c r="G10" s="11" t="inlineStr">
        <is>
          <t>DSE</t>
        </is>
      </c>
      <c r="H10" s="11" t="inlineStr">
        <is>
          <t>二四六</t>
        </is>
      </c>
      <c r="I10" s="11" t="n">
        <v>2360</v>
      </c>
      <c r="J10" s="11" t="inlineStr">
        <is>
          <t>部分</t>
        </is>
      </c>
      <c r="K10" s="11" t="n">
        <v>1180</v>
      </c>
      <c r="L10" s="11" t="inlineStr">
        <is>
          <t>何生</t>
        </is>
      </c>
      <c r="M10" s="11" t="inlineStr">
        <is>
          <t>8765 4321</t>
        </is>
      </c>
      <c r="N10" s="11" t="inlineStr">
        <is>
          <t>✓</t>
        </is>
      </c>
      <c r="O10" s="11" t="inlineStr">
        <is>
          <t>2023-09-01</t>
        </is>
      </c>
      <c r="P10" s="11" t="inlineStr">
        <is>
          <t>2026-06-30</t>
        </is>
      </c>
      <c r="Q10" s="24">
        <f>IF(P10="","",P10-TODAY())</f>
        <v/>
      </c>
      <c r="R10" s="11" t="inlineStr">
        <is>
          <t>在讀</t>
        </is>
      </c>
      <c r="S10" s="11" t="inlineStr">
        <is>
          <t>導師B</t>
        </is>
      </c>
      <c r="T10" s="11" t="inlineStr">
        <is>
          <t>學校門口</t>
        </is>
      </c>
      <c r="U10" s="11" t="inlineStr"/>
    </row>
    <row r="11">
      <c r="A11" s="13" t="inlineStr">
        <is>
          <t>S006</t>
        </is>
      </c>
      <c r="B11" s="13" t="inlineStr">
        <is>
          <t>林思穎</t>
        </is>
      </c>
      <c r="C11" s="13" t="inlineStr">
        <is>
          <t>Lam Si Wing</t>
        </is>
      </c>
      <c r="D11" s="13" t="inlineStr">
        <is>
          <t>真光小學</t>
        </is>
      </c>
      <c r="E11" s="13" t="inlineStr">
        <is>
          <t>P4</t>
        </is>
      </c>
      <c r="F11" s="13" t="inlineStr">
        <is>
          <t>小學功課（每日）</t>
        </is>
      </c>
      <c r="G11" s="13" t="inlineStr">
        <is>
          <t>功課輔導</t>
        </is>
      </c>
      <c r="H11" s="13" t="inlineStr">
        <is>
          <t>一至五</t>
        </is>
      </c>
      <c r="I11" s="13" t="n">
        <v>1980</v>
      </c>
      <c r="J11" s="13" t="inlineStr">
        <is>
          <t>已付</t>
        </is>
      </c>
      <c r="K11" s="13" t="n">
        <v>0</v>
      </c>
      <c r="L11" s="13" t="inlineStr">
        <is>
          <t>林太</t>
        </is>
      </c>
      <c r="M11" s="13" t="inlineStr">
        <is>
          <t>6543 2109</t>
        </is>
      </c>
      <c r="N11" s="13" t="inlineStr">
        <is>
          <t>✓</t>
        </is>
      </c>
      <c r="O11" s="13" t="inlineStr">
        <is>
          <t>2025-01-01</t>
        </is>
      </c>
      <c r="P11" s="13" t="inlineStr">
        <is>
          <t>2026-08-31</t>
        </is>
      </c>
      <c r="Q11" s="25">
        <f>IF(P11="","",P11-TODAY())</f>
        <v/>
      </c>
      <c r="R11" s="13" t="inlineStr">
        <is>
          <t>在讀</t>
        </is>
      </c>
      <c r="S11" s="13" t="inlineStr">
        <is>
          <t>導師A</t>
        </is>
      </c>
      <c r="T11" s="13" t="inlineStr">
        <is>
          <t>朋友轉介</t>
        </is>
      </c>
      <c r="U11" s="13" t="inlineStr"/>
    </row>
    <row r="203">
      <c r="A203" s="15" t="inlineStr">
        <is>
          <t>📊 學生資料庫 · 總數統計</t>
        </is>
      </c>
      <c r="B203" s="16" t="n"/>
      <c r="C203" s="16" t="n"/>
      <c r="D203" s="16" t="n"/>
    </row>
    <row r="204">
      <c r="A204" s="17" t="inlineStr">
        <is>
          <t>學生記錄總數</t>
        </is>
      </c>
      <c r="B204" s="26" t="n"/>
      <c r="C204" s="26" t="n"/>
      <c r="D204" s="26" t="n"/>
      <c r="E204" s="26" t="n"/>
      <c r="F204" s="26" t="n"/>
      <c r="G204" s="26" t="n"/>
      <c r="H204" s="18" t="n"/>
      <c r="I204" s="19">
        <f>COUNTA(A6:A200)</f>
        <v/>
      </c>
    </row>
    <row r="205">
      <c r="A205" s="17" t="inlineStr">
        <is>
          <t>在讀學生總數</t>
        </is>
      </c>
      <c r="B205" s="26" t="n"/>
      <c r="C205" s="26" t="n"/>
      <c r="D205" s="26" t="n"/>
      <c r="E205" s="26" t="n"/>
      <c r="F205" s="26" t="n"/>
      <c r="G205" s="26" t="n"/>
      <c r="H205" s="18" t="n"/>
      <c r="I205" s="19">
        <f>COUNTIF(R6:R200,"在讀")</f>
        <v/>
      </c>
    </row>
    <row r="206">
      <c r="A206" s="17" t="inlineStr">
        <is>
          <t>欠費學生總數</t>
        </is>
      </c>
      <c r="B206" s="26" t="n"/>
      <c r="C206" s="26" t="n"/>
      <c r="D206" s="26" t="n"/>
      <c r="E206" s="26" t="n"/>
      <c r="F206" s="26" t="n"/>
      <c r="G206" s="26" t="n"/>
      <c r="H206" s="18" t="n"/>
      <c r="I206" s="19">
        <f>COUNTIF(J6:J200,"欠費")</f>
        <v/>
      </c>
    </row>
    <row r="207">
      <c r="A207" s="17" t="inlineStr">
        <is>
          <t>月費總額（在讀）</t>
        </is>
      </c>
      <c r="B207" s="26" t="n"/>
      <c r="C207" s="26" t="n"/>
      <c r="D207" s="26" t="n"/>
      <c r="E207" s="26" t="n"/>
      <c r="F207" s="26" t="n"/>
      <c r="G207" s="26" t="n"/>
      <c r="H207" s="18" t="n"/>
      <c r="I207" s="19">
        <f>SUMIF(R6:R200,"在讀",I6:I200)</f>
        <v/>
      </c>
    </row>
    <row r="208">
      <c r="A208" s="17" t="inlineStr">
        <is>
          <t>欠費金額總數</t>
        </is>
      </c>
      <c r="B208" s="26" t="n"/>
      <c r="C208" s="26" t="n"/>
      <c r="D208" s="26" t="n"/>
      <c r="E208" s="26" t="n"/>
      <c r="F208" s="26" t="n"/>
      <c r="G208" s="26" t="n"/>
      <c r="H208" s="18" t="n"/>
      <c r="I208" s="19">
        <f>SUM(K6:K200)</f>
        <v/>
      </c>
    </row>
    <row r="209">
      <c r="A209" s="17" t="inlineStr">
        <is>
          <t>平均月費 ARPU</t>
        </is>
      </c>
      <c r="B209" s="26" t="n"/>
      <c r="C209" s="26" t="n"/>
      <c r="D209" s="26" t="n"/>
      <c r="E209" s="26" t="n"/>
      <c r="F209" s="26" t="n"/>
      <c r="G209" s="26" t="n"/>
      <c r="H209" s="18" t="n"/>
      <c r="I209" s="19">
        <f>IFERROR(AVERAGEIF(R6:R200,"在讀",I6:I200),0)</f>
        <v/>
      </c>
    </row>
  </sheetData>
  <mergeCells count="9">
    <mergeCell ref="A206:H206"/>
    <mergeCell ref="A209:H209"/>
    <mergeCell ref="A2:R2"/>
    <mergeCell ref="A204:H204"/>
    <mergeCell ref="A205:H205"/>
    <mergeCell ref="A207:H207"/>
    <mergeCell ref="A1:R1"/>
    <mergeCell ref="A208:H208"/>
    <mergeCell ref="A203:D203"/>
  </mergeCells>
  <conditionalFormatting sqref="J6:J200">
    <cfRule type="expression" priority="1" dxfId="0">
      <formula>$J6="欠費"</formula>
    </cfRule>
    <cfRule type="expression" priority="2" dxfId="1">
      <formula>$J6="部分"</formula>
    </cfRule>
  </conditionalFormatting>
  <dataValidations count="5">
    <dataValidation sqref="E6:E200" showDropDown="0" showInputMessage="0" showErrorMessage="0" allowBlank="1" type="list">
      <formula1>"P1,P2,P3,P4,P5,P6,S1,S2,S3,S4,S5,S6"</formula1>
    </dataValidation>
    <dataValidation sqref="G6:G200" showDropDown="0" showInputMessage="0" showErrorMessage="0" allowBlank="1" type="list">
      <formula1>"功課輔導,DSE,習慣養成,體育運動,暑期班,VIP,混合"</formula1>
    </dataValidation>
    <dataValidation sqref="J6:J200" showDropDown="0" showInputMessage="0" showErrorMessage="0" allowBlank="1" type="list">
      <formula1>"已付,欠費,部分,豁免"</formula1>
    </dataValidation>
    <dataValidation sqref="R6:R200" showDropDown="0" showInputMessage="0" showErrorMessage="0" allowBlank="1" type="list">
      <formula1>"在讀,暫停,退學,畢業,試堂"</formula1>
    </dataValidation>
    <dataValidation sqref="T6:T200" showDropDown="0" showInputMessage="0" showErrorMessage="0" allowBlank="1" type="list">
      <formula1>"舊生,舊生帶新生,學校門口,Facebook,Instagram,朋友轉介,其他"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7" customWidth="1" min="3" max="3"/>
    <col width="9" customWidth="1" min="4" max="4"/>
    <col width="10" customWidth="1" min="5" max="5"/>
    <col width="16" customWidth="1" min="6" max="6"/>
    <col width="9" customWidth="1" min="7" max="7"/>
    <col width="9" customWidth="1" min="8" max="8"/>
    <col width="8" customWidth="1" min="9" max="9"/>
    <col width="9" customWidth="1" min="10" max="10"/>
    <col width="9" customWidth="1" min="11" max="11"/>
    <col width="14" customWidth="1" min="12" max="12"/>
    <col width="8" customWidth="1" min="13" max="13"/>
    <col width="8" customWidth="1" min="14" max="14"/>
    <col width="14" customWidth="1" min="15" max="15"/>
  </cols>
  <sheetData>
    <row r="1">
      <c r="A1" s="1" t="inlineStr">
        <is>
          <t>俊才坊補習社 · 收費記錄</t>
        </is>
      </c>
    </row>
    <row r="2">
      <c r="A2" s="2" t="inlineStr">
        <is>
          <t>自動計算差額 · 底部總數統計</t>
        </is>
      </c>
    </row>
    <row r="5" ht="30" customHeight="1">
      <c r="A5" s="10" t="inlineStr">
        <is>
          <t>日期</t>
        </is>
      </c>
      <c r="B5" s="10" t="inlineStr">
        <is>
          <t>收據編號</t>
        </is>
      </c>
      <c r="C5" s="10" t="inlineStr">
        <is>
          <t>學號</t>
        </is>
      </c>
      <c r="D5" s="10" t="inlineStr">
        <is>
          <t>學生姓名</t>
        </is>
      </c>
      <c r="E5" s="10" t="inlineStr">
        <is>
          <t>月份</t>
        </is>
      </c>
      <c r="F5" s="10" t="inlineStr">
        <is>
          <t>課程</t>
        </is>
      </c>
      <c r="G5" s="10" t="inlineStr">
        <is>
          <t>應繳金額</t>
        </is>
      </c>
      <c r="H5" s="10" t="inlineStr">
        <is>
          <t>實收金額</t>
        </is>
      </c>
      <c r="I5" s="10" t="inlineStr">
        <is>
          <t>差額</t>
        </is>
      </c>
      <c r="J5" s="10" t="inlineStr">
        <is>
          <t>收款狀態</t>
        </is>
      </c>
      <c r="K5" s="10" t="inlineStr">
        <is>
          <t>付款方式</t>
        </is>
      </c>
      <c r="L5" s="10" t="inlineStr">
        <is>
          <t>轉帳參考號</t>
        </is>
      </c>
      <c r="M5" s="10" t="inlineStr">
        <is>
          <t>經手人</t>
        </is>
      </c>
      <c r="N5" s="10" t="inlineStr">
        <is>
          <t>已開收據</t>
        </is>
      </c>
      <c r="O5" s="10" t="inlineStr">
        <is>
          <t>備註</t>
        </is>
      </c>
    </row>
    <row r="6">
      <c r="A6" s="11" t="inlineStr">
        <is>
          <t>2026-06-01</t>
        </is>
      </c>
      <c r="B6" s="24">
        <f>"R-"&amp;RIGHT(E6,4)&amp;TEXT(ROW()-5,"000")</f>
        <v/>
      </c>
      <c r="C6" s="11" t="inlineStr">
        <is>
          <t>S001</t>
        </is>
      </c>
      <c r="D6" s="24">
        <f>IFERROR(VLOOKUP(C6,學生資料庫!$A$6:$B$200,2,FALSE),"")</f>
        <v/>
      </c>
      <c r="E6" s="11" t="inlineStr">
        <is>
          <t>2026-06</t>
        </is>
      </c>
      <c r="F6" s="24">
        <f>IFERROR(VLOOKUP(C6,學生資料庫!$A$6:$F$200,6,FALSE),"")</f>
        <v/>
      </c>
      <c r="G6" s="11" t="n">
        <v>1980</v>
      </c>
      <c r="H6" s="11" t="n">
        <v>1980</v>
      </c>
      <c r="I6" s="24">
        <f>G6-H6</f>
        <v/>
      </c>
      <c r="J6" s="24">
        <f>IF(H6=0,"未付",IF(H6&gt;=G6,"已付清",IF(H6&gt;0,"部分","未付")))</f>
        <v/>
      </c>
      <c r="K6" s="11" t="inlineStr">
        <is>
          <t>FPS</t>
        </is>
      </c>
      <c r="L6" s="11" t="inlineStr">
        <is>
          <t>FRN12345</t>
        </is>
      </c>
      <c r="M6" s="11" t="inlineStr">
        <is>
          <t>營運者</t>
        </is>
      </c>
      <c r="N6" s="11" t="inlineStr">
        <is>
          <t>✓</t>
        </is>
      </c>
      <c r="O6" s="11" t="inlineStr"/>
    </row>
    <row r="7">
      <c r="A7" s="13" t="inlineStr">
        <is>
          <t>2026-06-01</t>
        </is>
      </c>
      <c r="B7" s="25">
        <f>"R-"&amp;RIGHT(E7,4)&amp;TEXT(ROW()-5,"000")</f>
        <v/>
      </c>
      <c r="C7" s="13" t="inlineStr">
        <is>
          <t>S002</t>
        </is>
      </c>
      <c r="D7" s="25">
        <f>IFERROR(VLOOKUP(C7,學生資料庫!$A$6:$B$200,2,FALSE),"")</f>
        <v/>
      </c>
      <c r="E7" s="13" t="inlineStr">
        <is>
          <t>2026-06</t>
        </is>
      </c>
      <c r="F7" s="25">
        <f>IFERROR(VLOOKUP(C7,學生資料庫!$A$6:$F$200,6,FALSE),"")</f>
        <v/>
      </c>
      <c r="G7" s="13" t="n">
        <v>3180</v>
      </c>
      <c r="H7" s="13" t="n">
        <v>3180</v>
      </c>
      <c r="I7" s="25">
        <f>G7-H7</f>
        <v/>
      </c>
      <c r="J7" s="25">
        <f>IF(H7=0,"未付",IF(H7&gt;=G7,"已付清",IF(H7&gt;0,"部分","未付")))</f>
        <v/>
      </c>
      <c r="K7" s="13" t="inlineStr">
        <is>
          <t>PayMe</t>
        </is>
      </c>
      <c r="L7" s="13" t="inlineStr">
        <is>
          <t>PM98765</t>
        </is>
      </c>
      <c r="M7" s="13" t="inlineStr">
        <is>
          <t>營運者</t>
        </is>
      </c>
      <c r="N7" s="13" t="inlineStr">
        <is>
          <t>✓</t>
        </is>
      </c>
      <c r="O7" s="13" t="inlineStr"/>
    </row>
    <row r="8">
      <c r="A8" s="11" t="inlineStr">
        <is>
          <t>2026-06-05</t>
        </is>
      </c>
      <c r="B8" s="24">
        <f>"R-"&amp;RIGHT(E8,4)&amp;TEXT(ROW()-5,"000")</f>
        <v/>
      </c>
      <c r="C8" s="11" t="inlineStr">
        <is>
          <t>S003</t>
        </is>
      </c>
      <c r="D8" s="24">
        <f>IFERROR(VLOOKUP(C8,學生資料庫!$A$6:$B$200,2,FALSE),"")</f>
        <v/>
      </c>
      <c r="E8" s="11" t="inlineStr">
        <is>
          <t>2026-06</t>
        </is>
      </c>
      <c r="F8" s="24">
        <f>IFERROR(VLOOKUP(C8,學生資料庫!$A$6:$F$200,6,FALSE),"")</f>
        <v/>
      </c>
      <c r="G8" s="11" t="n">
        <v>3180</v>
      </c>
      <c r="H8" s="11" t="n">
        <v>0</v>
      </c>
      <c r="I8" s="24">
        <f>G8-H8</f>
        <v/>
      </c>
      <c r="J8" s="24">
        <f>IF(H8=0,"未付",IF(H8&gt;=G8,"已付清",IF(H8&gt;0,"部分","未付")))</f>
        <v/>
      </c>
      <c r="K8" s="11" t="inlineStr">
        <is>
          <t>—</t>
        </is>
      </c>
      <c r="L8" s="11" t="inlineStr">
        <is>
          <t>—</t>
        </is>
      </c>
      <c r="M8" s="11" t="inlineStr">
        <is>
          <t>—</t>
        </is>
      </c>
      <c r="N8" s="11" t="inlineStr">
        <is>
          <t>✗</t>
        </is>
      </c>
      <c r="O8" s="11" t="inlineStr">
        <is>
          <t>待追繳</t>
        </is>
      </c>
    </row>
    <row r="9">
      <c r="A9" s="13" t="inlineStr">
        <is>
          <t>2026-06-10</t>
        </is>
      </c>
      <c r="B9" s="25">
        <f>"R-"&amp;RIGHT(E9,4)&amp;TEXT(ROW()-5,"000")</f>
        <v/>
      </c>
      <c r="C9" s="13" t="inlineStr">
        <is>
          <t>S004</t>
        </is>
      </c>
      <c r="D9" s="25">
        <f>IFERROR(VLOOKUP(C9,學生資料庫!$A$6:$B$200,2,FALSE),"")</f>
        <v/>
      </c>
      <c r="E9" s="13" t="inlineStr">
        <is>
          <t>2026-06</t>
        </is>
      </c>
      <c r="F9" s="25">
        <f>IFERROR(VLOOKUP(C9,學生資料庫!$A$6:$F$200,6,FALSE),"")</f>
        <v/>
      </c>
      <c r="G9" s="13" t="n">
        <v>1580</v>
      </c>
      <c r="H9" s="13" t="n">
        <v>1580</v>
      </c>
      <c r="I9" s="25">
        <f>G9-H9</f>
        <v/>
      </c>
      <c r="J9" s="25">
        <f>IF(H9=0,"未付",IF(H9&gt;=G9,"已付清",IF(H9&gt;0,"部分","未付")))</f>
        <v/>
      </c>
      <c r="K9" s="13" t="inlineStr">
        <is>
          <t>FPS</t>
        </is>
      </c>
      <c r="L9" s="13" t="inlineStr">
        <is>
          <t>FRN12399</t>
        </is>
      </c>
      <c r="M9" s="13" t="inlineStr">
        <is>
          <t>營運者</t>
        </is>
      </c>
      <c r="N9" s="13" t="inlineStr">
        <is>
          <t>✓</t>
        </is>
      </c>
      <c r="O9" s="13" t="inlineStr"/>
    </row>
    <row r="10">
      <c r="A10" s="11" t="inlineStr">
        <is>
          <t>2026-05-28</t>
        </is>
      </c>
      <c r="B10" s="24">
        <f>"R-"&amp;RIGHT(E10,4)&amp;TEXT(ROW()-5,"000")</f>
        <v/>
      </c>
      <c r="C10" s="11" t="inlineStr">
        <is>
          <t>S005</t>
        </is>
      </c>
      <c r="D10" s="24">
        <f>IFERROR(VLOOKUP(C10,學生資料庫!$A$6:$B$200,2,FALSE),"")</f>
        <v/>
      </c>
      <c r="E10" s="11" t="inlineStr">
        <is>
          <t>2026-05</t>
        </is>
      </c>
      <c r="F10" s="24">
        <f>IFERROR(VLOOKUP(C10,學生資料庫!$A$6:$F$200,6,FALSE),"")</f>
        <v/>
      </c>
      <c r="G10" s="11" t="n">
        <v>2360</v>
      </c>
      <c r="H10" s="11" t="n">
        <v>1180</v>
      </c>
      <c r="I10" s="24">
        <f>G10-H10</f>
        <v/>
      </c>
      <c r="J10" s="24">
        <f>IF(H10=0,"未付",IF(H10&gt;=G10,"已付清",IF(H10&gt;0,"部分","未付")))</f>
        <v/>
      </c>
      <c r="K10" s="11" t="inlineStr">
        <is>
          <t>FPS</t>
        </is>
      </c>
      <c r="L10" s="11" t="inlineStr">
        <is>
          <t>FRN12200</t>
        </is>
      </c>
      <c r="M10" s="11" t="inlineStr">
        <is>
          <t>營運者</t>
        </is>
      </c>
      <c r="N10" s="11" t="inlineStr">
        <is>
          <t>✓</t>
        </is>
      </c>
      <c r="O10" s="11" t="inlineStr">
        <is>
          <t>部分付款</t>
        </is>
      </c>
    </row>
    <row r="203">
      <c r="A203" s="15" t="inlineStr">
        <is>
          <t>📊 收費記錄 · 總數統計</t>
        </is>
      </c>
      <c r="B203" s="16" t="n"/>
      <c r="C203" s="16" t="n"/>
      <c r="D203" s="16" t="n"/>
    </row>
    <row r="204">
      <c r="A204" s="17" t="inlineStr">
        <is>
          <t>收款筆數總數</t>
        </is>
      </c>
      <c r="B204" s="26" t="n"/>
      <c r="C204" s="26" t="n"/>
      <c r="D204" s="26" t="n"/>
      <c r="E204" s="26" t="n"/>
      <c r="F204" s="26" t="n"/>
      <c r="G204" s="18" t="n"/>
      <c r="H204" s="19">
        <f>COUNTA(A6:A200)</f>
        <v/>
      </c>
    </row>
    <row r="205">
      <c r="A205" s="17" t="inlineStr">
        <is>
          <t>應收金額總數</t>
        </is>
      </c>
      <c r="B205" s="26" t="n"/>
      <c r="C205" s="26" t="n"/>
      <c r="D205" s="26" t="n"/>
      <c r="E205" s="26" t="n"/>
      <c r="F205" s="26" t="n"/>
      <c r="G205" s="18" t="n"/>
      <c r="H205" s="19">
        <f>SUM(G6:G200)</f>
        <v/>
      </c>
    </row>
    <row r="206">
      <c r="A206" s="17" t="inlineStr">
        <is>
          <t>實收金額總數</t>
        </is>
      </c>
      <c r="B206" s="26" t="n"/>
      <c r="C206" s="26" t="n"/>
      <c r="D206" s="26" t="n"/>
      <c r="E206" s="26" t="n"/>
      <c r="F206" s="26" t="n"/>
      <c r="G206" s="18" t="n"/>
      <c r="H206" s="19">
        <f>SUM(H6:H200)</f>
        <v/>
      </c>
    </row>
    <row r="207">
      <c r="A207" s="17" t="inlineStr">
        <is>
          <t>未收金額總數</t>
        </is>
      </c>
      <c r="B207" s="26" t="n"/>
      <c r="C207" s="26" t="n"/>
      <c r="D207" s="26" t="n"/>
      <c r="E207" s="26" t="n"/>
      <c r="F207" s="26" t="n"/>
      <c r="G207" s="18" t="n"/>
      <c r="H207" s="19">
        <f>SUM(I6:I200)</f>
        <v/>
      </c>
    </row>
    <row r="208">
      <c r="A208" s="17" t="inlineStr">
        <is>
          <t>本月應收</t>
        </is>
      </c>
      <c r="B208" s="26" t="n"/>
      <c r="C208" s="26" t="n"/>
      <c r="D208" s="26" t="n"/>
      <c r="E208" s="26" t="n"/>
      <c r="F208" s="26" t="n"/>
      <c r="G208" s="18" t="n"/>
      <c r="H208" s="19">
        <f>SUMIF(E6:E200,TEXT(TODAY(),"YYYY-MM"),G6:G200)</f>
        <v/>
      </c>
    </row>
    <row r="209">
      <c r="A209" s="17" t="inlineStr">
        <is>
          <t>本月實收</t>
        </is>
      </c>
      <c r="B209" s="26" t="n"/>
      <c r="C209" s="26" t="n"/>
      <c r="D209" s="26" t="n"/>
      <c r="E209" s="26" t="n"/>
      <c r="F209" s="26" t="n"/>
      <c r="G209" s="18" t="n"/>
      <c r="H209" s="19">
        <f>SUMIF(E6:E200,TEXT(TODAY(),"YYYY-MM"),H6:H200)</f>
        <v/>
      </c>
    </row>
    <row r="210">
      <c r="A210" s="17" t="inlineStr">
        <is>
          <t>已付清筆數</t>
        </is>
      </c>
      <c r="B210" s="26" t="n"/>
      <c r="C210" s="26" t="n"/>
      <c r="D210" s="26" t="n"/>
      <c r="E210" s="26" t="n"/>
      <c r="F210" s="26" t="n"/>
      <c r="G210" s="18" t="n"/>
      <c r="H210" s="19">
        <f>COUNTIF(J6:J200,"已付清")</f>
        <v/>
      </c>
    </row>
    <row r="211">
      <c r="A211" s="17" t="inlineStr">
        <is>
          <t>未付筆數</t>
        </is>
      </c>
      <c r="B211" s="26" t="n"/>
      <c r="C211" s="26" t="n"/>
      <c r="D211" s="26" t="n"/>
      <c r="E211" s="26" t="n"/>
      <c r="F211" s="26" t="n"/>
      <c r="G211" s="18" t="n"/>
      <c r="H211" s="19">
        <f>COUNTIF(J6:J200,"未付")</f>
        <v/>
      </c>
    </row>
  </sheetData>
  <mergeCells count="11">
    <mergeCell ref="A2:O2"/>
    <mergeCell ref="A211:G211"/>
    <mergeCell ref="A206:G206"/>
    <mergeCell ref="A1:O1"/>
    <mergeCell ref="A209:G209"/>
    <mergeCell ref="A210:G210"/>
    <mergeCell ref="A205:G205"/>
    <mergeCell ref="A207:G207"/>
    <mergeCell ref="A204:G204"/>
    <mergeCell ref="A208:G208"/>
    <mergeCell ref="A203:D203"/>
  </mergeCells>
  <conditionalFormatting sqref="J6:J200">
    <cfRule type="expression" priority="1" dxfId="0">
      <formula>$J6="未付"</formula>
    </cfRule>
    <cfRule type="expression" priority="2" dxfId="2">
      <formula>$J6="已付清"</formula>
    </cfRule>
  </conditionalFormatting>
  <dataValidations count="2">
    <dataValidation sqref="K6:K200" showDropDown="0" showInputMessage="0" showErrorMessage="0" allowBlank="1" type="list">
      <formula1>"FPS,PayMe,現金,支票,—"</formula1>
    </dataValidation>
    <dataValidation sqref="N6:N200" showDropDown="0" showInputMessage="0" showErrorMessage="0" allowBlank="1" type="list">
      <formula1>"✓,✗"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9" customWidth="1" min="3" max="3"/>
    <col width="15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9" customWidth="1" min="10" max="10"/>
    <col width="8" customWidth="1" min="11" max="11"/>
    <col width="9" customWidth="1" min="12" max="12"/>
    <col width="10" customWidth="1" min="13" max="13"/>
    <col width="14" customWidth="1" min="14" max="14"/>
  </cols>
  <sheetData>
    <row r="1">
      <c r="A1" s="1" t="inlineStr">
        <is>
          <t>俊才坊補習社 · 出席記錄</t>
        </is>
      </c>
    </row>
    <row r="2">
      <c r="A2" s="2" t="inlineStr">
        <is>
          <t>每日點名 · 底部出席總數統計</t>
        </is>
      </c>
    </row>
    <row r="5" ht="30" customHeight="1">
      <c r="A5" s="10" t="inlineStr">
        <is>
          <t>日期</t>
        </is>
      </c>
      <c r="B5" s="10" t="inlineStr">
        <is>
          <t>學號</t>
        </is>
      </c>
      <c r="C5" s="10" t="inlineStr">
        <is>
          <t>學生姓名</t>
        </is>
      </c>
      <c r="D5" s="10" t="inlineStr">
        <is>
          <t>課程</t>
        </is>
      </c>
      <c r="E5" s="10" t="inlineStr">
        <is>
          <t>應到時間</t>
        </is>
      </c>
      <c r="F5" s="10" t="inlineStr">
        <is>
          <t>實到時間</t>
        </is>
      </c>
      <c r="G5" s="10" t="inlineStr">
        <is>
          <t>遲到(分鐘)</t>
        </is>
      </c>
      <c r="H5" s="10" t="inlineStr">
        <is>
          <t>出席狀態</t>
        </is>
      </c>
      <c r="I5" s="10" t="inlineStr">
        <is>
          <t>離開時間</t>
        </is>
      </c>
      <c r="J5" s="10" t="inlineStr">
        <is>
          <t>功課完成</t>
        </is>
      </c>
      <c r="K5" s="10" t="inlineStr">
        <is>
          <t>導師</t>
        </is>
      </c>
      <c r="L5" s="10" t="inlineStr">
        <is>
          <t>家長已通知</t>
        </is>
      </c>
      <c r="M5" s="10" t="inlineStr">
        <is>
          <t>補課安排</t>
        </is>
      </c>
      <c r="N5" s="10" t="inlineStr">
        <is>
          <t>備註</t>
        </is>
      </c>
    </row>
    <row r="6">
      <c r="A6" s="11" t="inlineStr">
        <is>
          <t>2026-06-11</t>
        </is>
      </c>
      <c r="B6" s="11" t="inlineStr">
        <is>
          <t>S001</t>
        </is>
      </c>
      <c r="C6" s="24">
        <f>IFERROR(VLOOKUP(B6,學生資料庫!$A$6:$B$200,2,FALSE),"")</f>
        <v/>
      </c>
      <c r="D6" s="24">
        <f>IFERROR(VLOOKUP(B6,學生資料庫!$A$6:$F$200,6,FALSE),"")</f>
        <v/>
      </c>
      <c r="E6" s="11" t="inlineStr">
        <is>
          <t>15:30</t>
        </is>
      </c>
      <c r="F6" s="11" t="inlineStr">
        <is>
          <t>15:25</t>
        </is>
      </c>
      <c r="G6" s="11" t="n">
        <v>0</v>
      </c>
      <c r="H6" s="11" t="inlineStr">
        <is>
          <t>出席</t>
        </is>
      </c>
      <c r="I6" s="11" t="inlineStr">
        <is>
          <t>18:30</t>
        </is>
      </c>
      <c r="J6" s="11" t="inlineStr">
        <is>
          <t>完成</t>
        </is>
      </c>
      <c r="K6" s="11" t="inlineStr">
        <is>
          <t>導師A</t>
        </is>
      </c>
      <c r="L6" s="11" t="inlineStr">
        <is>
          <t>—</t>
        </is>
      </c>
      <c r="M6" s="11" t="inlineStr">
        <is>
          <t>—</t>
        </is>
      </c>
      <c r="N6" s="11" t="inlineStr"/>
    </row>
    <row r="7">
      <c r="A7" s="13" t="inlineStr">
        <is>
          <t>2026-06-11</t>
        </is>
      </c>
      <c r="B7" s="13" t="inlineStr">
        <is>
          <t>S002</t>
        </is>
      </c>
      <c r="C7" s="25">
        <f>IFERROR(VLOOKUP(B7,學生資料庫!$A$6:$B$200,2,FALSE),"")</f>
        <v/>
      </c>
      <c r="D7" s="25">
        <f>IFERROR(VLOOKUP(B7,學生資料庫!$A$6:$F$200,6,FALSE),"")</f>
        <v/>
      </c>
      <c r="E7" s="13" t="inlineStr">
        <is>
          <t>16:00</t>
        </is>
      </c>
      <c r="F7" s="13" t="inlineStr">
        <is>
          <t>16:10</t>
        </is>
      </c>
      <c r="G7" s="13" t="n">
        <v>10</v>
      </c>
      <c r="H7" s="13" t="inlineStr">
        <is>
          <t>遲到</t>
        </is>
      </c>
      <c r="I7" s="13" t="inlineStr">
        <is>
          <t>19:00</t>
        </is>
      </c>
      <c r="J7" s="13" t="inlineStr">
        <is>
          <t>完成</t>
        </is>
      </c>
      <c r="K7" s="13" t="inlineStr">
        <is>
          <t>導師B</t>
        </is>
      </c>
      <c r="L7" s="13" t="inlineStr">
        <is>
          <t>—</t>
        </is>
      </c>
      <c r="M7" s="13" t="inlineStr">
        <is>
          <t>—</t>
        </is>
      </c>
      <c r="N7" s="13" t="inlineStr"/>
    </row>
    <row r="8">
      <c r="A8" s="11" t="inlineStr">
        <is>
          <t>2026-06-11</t>
        </is>
      </c>
      <c r="B8" s="11" t="inlineStr">
        <is>
          <t>S003</t>
        </is>
      </c>
      <c r="C8" s="24">
        <f>IFERROR(VLOOKUP(B8,學生資料庫!$A$6:$B$200,2,FALSE),"")</f>
        <v/>
      </c>
      <c r="D8" s="24">
        <f>IFERROR(VLOOKUP(B8,學生資料庫!$A$6:$F$200,6,FALSE),"")</f>
        <v/>
      </c>
      <c r="E8" s="11" t="inlineStr">
        <is>
          <t>18:30</t>
        </is>
      </c>
      <c r="F8" s="11" t="inlineStr">
        <is>
          <t>—</t>
        </is>
      </c>
      <c r="G8" s="11" t="n">
        <v>0</v>
      </c>
      <c r="H8" s="11" t="inlineStr">
        <is>
          <t>缺席</t>
        </is>
      </c>
      <c r="I8" s="11" t="inlineStr">
        <is>
          <t>—</t>
        </is>
      </c>
      <c r="J8" s="11" t="inlineStr">
        <is>
          <t>—</t>
        </is>
      </c>
      <c r="K8" s="11" t="inlineStr">
        <is>
          <t>導師A</t>
        </is>
      </c>
      <c r="L8" s="11" t="inlineStr">
        <is>
          <t>✓</t>
        </is>
      </c>
      <c r="M8" s="11" t="inlineStr">
        <is>
          <t>2026-06-12</t>
        </is>
      </c>
      <c r="N8" s="11" t="inlineStr"/>
    </row>
    <row r="9">
      <c r="A9" s="13" t="inlineStr">
        <is>
          <t>2026-06-11</t>
        </is>
      </c>
      <c r="B9" s="13" t="inlineStr">
        <is>
          <t>S004</t>
        </is>
      </c>
      <c r="C9" s="25">
        <f>IFERROR(VLOOKUP(B9,學生資料庫!$A$6:$B$200,2,FALSE),"")</f>
        <v/>
      </c>
      <c r="D9" s="25">
        <f>IFERROR(VLOOKUP(B9,學生資料庫!$A$6:$F$200,6,FALSE),"")</f>
        <v/>
      </c>
      <c r="E9" s="13" t="inlineStr">
        <is>
          <t>15:30</t>
        </is>
      </c>
      <c r="F9" s="13" t="inlineStr">
        <is>
          <t>15:30</t>
        </is>
      </c>
      <c r="G9" s="13" t="n">
        <v>0</v>
      </c>
      <c r="H9" s="13" t="inlineStr">
        <is>
          <t>出席</t>
        </is>
      </c>
      <c r="I9" s="13" t="inlineStr">
        <is>
          <t>18:00</t>
        </is>
      </c>
      <c r="J9" s="13" t="inlineStr">
        <is>
          <t>完成</t>
        </is>
      </c>
      <c r="K9" s="13" t="inlineStr">
        <is>
          <t>導師A</t>
        </is>
      </c>
      <c r="L9" s="13" t="inlineStr">
        <is>
          <t>—</t>
        </is>
      </c>
      <c r="M9" s="13" t="inlineStr">
        <is>
          <t>—</t>
        </is>
      </c>
      <c r="N9" s="13" t="inlineStr"/>
    </row>
    <row r="10">
      <c r="A10" s="11" t="inlineStr">
        <is>
          <t>2026-06-11</t>
        </is>
      </c>
      <c r="B10" s="11" t="inlineStr">
        <is>
          <t>S005</t>
        </is>
      </c>
      <c r="C10" s="24">
        <f>IFERROR(VLOOKUP(B10,學生資料庫!$A$6:$B$200,2,FALSE),"")</f>
        <v/>
      </c>
      <c r="D10" s="24">
        <f>IFERROR(VLOOKUP(B10,學生資料庫!$A$6:$F$200,6,FALSE),"")</f>
        <v/>
      </c>
      <c r="E10" s="11" t="inlineStr">
        <is>
          <t>18:30</t>
        </is>
      </c>
      <c r="F10" s="11" t="inlineStr">
        <is>
          <t>18:35</t>
        </is>
      </c>
      <c r="G10" s="11" t="n">
        <v>5</v>
      </c>
      <c r="H10" s="11" t="inlineStr">
        <is>
          <t>遲到</t>
        </is>
      </c>
      <c r="I10" s="11" t="inlineStr">
        <is>
          <t>20:30</t>
        </is>
      </c>
      <c r="J10" s="11" t="inlineStr">
        <is>
          <t>完成</t>
        </is>
      </c>
      <c r="K10" s="11" t="inlineStr">
        <is>
          <t>導師B</t>
        </is>
      </c>
      <c r="L10" s="11" t="inlineStr">
        <is>
          <t>—</t>
        </is>
      </c>
      <c r="M10" s="11" t="inlineStr">
        <is>
          <t>—</t>
        </is>
      </c>
      <c r="N10" s="11" t="inlineStr"/>
    </row>
    <row r="11">
      <c r="A11" s="13" t="inlineStr">
        <is>
          <t>2026-06-11</t>
        </is>
      </c>
      <c r="B11" s="13" t="inlineStr">
        <is>
          <t>S006</t>
        </is>
      </c>
      <c r="C11" s="25">
        <f>IFERROR(VLOOKUP(B11,學生資料庫!$A$6:$B$200,2,FALSE),"")</f>
        <v/>
      </c>
      <c r="D11" s="25">
        <f>IFERROR(VLOOKUP(B11,學生資料庫!$A$6:$F$200,6,FALSE),"")</f>
        <v/>
      </c>
      <c r="E11" s="13" t="inlineStr">
        <is>
          <t>15:30</t>
        </is>
      </c>
      <c r="F11" s="13" t="inlineStr">
        <is>
          <t>15:28</t>
        </is>
      </c>
      <c r="G11" s="13" t="n">
        <v>0</v>
      </c>
      <c r="H11" s="13" t="inlineStr">
        <is>
          <t>出席</t>
        </is>
      </c>
      <c r="I11" s="13" t="inlineStr">
        <is>
          <t>18:30</t>
        </is>
      </c>
      <c r="J11" s="13" t="inlineStr">
        <is>
          <t>完成</t>
        </is>
      </c>
      <c r="K11" s="13" t="inlineStr">
        <is>
          <t>導師A</t>
        </is>
      </c>
      <c r="L11" s="13" t="inlineStr">
        <is>
          <t>—</t>
        </is>
      </c>
      <c r="M11" s="13" t="inlineStr">
        <is>
          <t>—</t>
        </is>
      </c>
      <c r="N11" s="13" t="inlineStr"/>
    </row>
    <row r="203">
      <c r="A203" s="15" t="inlineStr">
        <is>
          <t>📊 出席記錄 · 總數統計</t>
        </is>
      </c>
      <c r="B203" s="16" t="n"/>
      <c r="C203" s="16" t="n"/>
      <c r="D203" s="16" t="n"/>
    </row>
    <row r="204">
      <c r="A204" s="17" t="inlineStr">
        <is>
          <t>點名記錄總數</t>
        </is>
      </c>
      <c r="B204" s="26" t="n"/>
      <c r="C204" s="26" t="n"/>
      <c r="D204" s="26" t="n"/>
      <c r="E204" s="26" t="n"/>
      <c r="F204" s="26" t="n"/>
      <c r="G204" s="18" t="n"/>
      <c r="H204" s="19">
        <f>COUNTA(A6:A200)</f>
        <v/>
      </c>
    </row>
    <row r="205">
      <c r="A205" s="17" t="inlineStr">
        <is>
          <t>出席人次總數</t>
        </is>
      </c>
      <c r="B205" s="26" t="n"/>
      <c r="C205" s="26" t="n"/>
      <c r="D205" s="26" t="n"/>
      <c r="E205" s="26" t="n"/>
      <c r="F205" s="26" t="n"/>
      <c r="G205" s="18" t="n"/>
      <c r="H205" s="19">
        <f>COUNTIF(H6:H200,"出席")</f>
        <v/>
      </c>
    </row>
    <row r="206">
      <c r="A206" s="17" t="inlineStr">
        <is>
          <t>遲到人次總數</t>
        </is>
      </c>
      <c r="B206" s="26" t="n"/>
      <c r="C206" s="26" t="n"/>
      <c r="D206" s="26" t="n"/>
      <c r="E206" s="26" t="n"/>
      <c r="F206" s="26" t="n"/>
      <c r="G206" s="18" t="n"/>
      <c r="H206" s="19">
        <f>COUNTIF(H6:H200,"遲到")</f>
        <v/>
      </c>
    </row>
    <row r="207">
      <c r="A207" s="17" t="inlineStr">
        <is>
          <t>缺席人次總數</t>
        </is>
      </c>
      <c r="B207" s="26" t="n"/>
      <c r="C207" s="26" t="n"/>
      <c r="D207" s="26" t="n"/>
      <c r="E207" s="26" t="n"/>
      <c r="F207" s="26" t="n"/>
      <c r="G207" s="18" t="n"/>
      <c r="H207" s="19">
        <f>COUNTIF(H6:H200,"缺席")</f>
        <v/>
      </c>
    </row>
    <row r="208">
      <c r="A208" s="17" t="inlineStr">
        <is>
          <t>請假人次總數</t>
        </is>
      </c>
      <c r="B208" s="26" t="n"/>
      <c r="C208" s="26" t="n"/>
      <c r="D208" s="26" t="n"/>
      <c r="E208" s="26" t="n"/>
      <c r="F208" s="26" t="n"/>
      <c r="G208" s="18" t="n"/>
      <c r="H208" s="19">
        <f>COUNTIF(H6:H200,"請假")</f>
        <v/>
      </c>
    </row>
    <row r="209">
      <c r="A209" s="17" t="inlineStr">
        <is>
          <t>出席率</t>
        </is>
      </c>
      <c r="B209" s="26" t="n"/>
      <c r="C209" s="26" t="n"/>
      <c r="D209" s="26" t="n"/>
      <c r="E209" s="26" t="n"/>
      <c r="F209" s="26" t="n"/>
      <c r="G209" s="18" t="n"/>
      <c r="H209" s="27">
        <f>IFERROR(COUNTIF(H6:H200,"出席")/COUNTA(A6:A200),0)</f>
        <v/>
      </c>
    </row>
    <row r="210">
      <c r="A210" s="17" t="inlineStr">
        <is>
          <t>功課完成總數</t>
        </is>
      </c>
      <c r="B210" s="26" t="n"/>
      <c r="C210" s="26" t="n"/>
      <c r="D210" s="26" t="n"/>
      <c r="E210" s="26" t="n"/>
      <c r="F210" s="26" t="n"/>
      <c r="G210" s="18" t="n"/>
      <c r="H210" s="19">
        <f>COUNTIF(J6:J200,"完成")</f>
        <v/>
      </c>
    </row>
    <row r="211">
      <c r="A211" s="17" t="inlineStr">
        <is>
          <t>遲到分鐘總數</t>
        </is>
      </c>
      <c r="B211" s="26" t="n"/>
      <c r="C211" s="26" t="n"/>
      <c r="D211" s="26" t="n"/>
      <c r="E211" s="26" t="n"/>
      <c r="F211" s="26" t="n"/>
      <c r="G211" s="18" t="n"/>
      <c r="H211" s="19">
        <f>SUM(G6:G200)</f>
        <v/>
      </c>
    </row>
  </sheetData>
  <mergeCells count="11">
    <mergeCell ref="A1:N1"/>
    <mergeCell ref="A211:G211"/>
    <mergeCell ref="A2:N2"/>
    <mergeCell ref="A206:G206"/>
    <mergeCell ref="A209:G209"/>
    <mergeCell ref="A210:G210"/>
    <mergeCell ref="A205:G205"/>
    <mergeCell ref="A207:G207"/>
    <mergeCell ref="A204:G204"/>
    <mergeCell ref="A208:G208"/>
    <mergeCell ref="A203:D203"/>
  </mergeCells>
  <conditionalFormatting sqref="H6:H200">
    <cfRule type="expression" priority="1" dxfId="0">
      <formula>$H6="缺席"</formula>
    </cfRule>
    <cfRule type="expression" priority="2" dxfId="2">
      <formula>$H6="出席"</formula>
    </cfRule>
  </conditionalFormatting>
  <dataValidations count="2">
    <dataValidation sqref="H6:H200" showDropDown="0" showInputMessage="0" showErrorMessage="0" allowBlank="1" type="list">
      <formula1>"出席,遲到,缺席,請假"</formula1>
    </dataValidation>
    <dataValidation sqref="J6:J200" showDropDown="0" showInputMessage="0" showErrorMessage="0" allowBlank="1" type="list">
      <formula1>"完成,未完成,部分,—"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7" customWidth="1" min="3" max="3"/>
    <col width="9" customWidth="1" min="4" max="4"/>
    <col width="8" customWidth="1" min="5" max="5"/>
    <col width="7" customWidth="1" min="6" max="6"/>
    <col width="8" customWidth="1" min="7" max="7"/>
    <col width="5" customWidth="1" min="8" max="8"/>
    <col width="5" customWidth="1" min="9" max="9"/>
    <col width="5" customWidth="1" min="10" max="10"/>
    <col width="7" customWidth="1" min="11" max="11"/>
    <col width="9" customWidth="1" min="12" max="12"/>
    <col width="10" customWidth="1" min="13" max="13"/>
    <col width="7" customWidth="1" min="14" max="14"/>
    <col width="12" customWidth="1" min="15" max="15"/>
  </cols>
  <sheetData>
    <row r="1">
      <c r="A1" s="1" t="inlineStr">
        <is>
          <t>俊才坊補習社 · 每週排課表</t>
        </is>
      </c>
    </row>
    <row r="2">
      <c r="A2" s="2" t="inlineStr">
        <is>
          <t>滿班率 · 預估營收 · 底部總數</t>
        </is>
      </c>
    </row>
    <row r="5" ht="30" customHeight="1">
      <c r="A5" s="10" t="inlineStr">
        <is>
          <t>星期</t>
        </is>
      </c>
      <c r="B5" s="10" t="inlineStr">
        <is>
          <t>時段</t>
        </is>
      </c>
      <c r="C5" s="10" t="inlineStr">
        <is>
          <t>課程名稱</t>
        </is>
      </c>
      <c r="D5" s="10" t="inlineStr">
        <is>
          <t>課程類別</t>
        </is>
      </c>
      <c r="E5" s="10" t="inlineStr">
        <is>
          <t>導師</t>
        </is>
      </c>
      <c r="F5" s="10" t="inlineStr">
        <is>
          <t>課室</t>
        </is>
      </c>
      <c r="G5" s="10" t="inlineStr">
        <is>
          <t>對象</t>
        </is>
      </c>
      <c r="H5" s="10" t="inlineStr">
        <is>
          <t>班額</t>
        </is>
      </c>
      <c r="I5" s="10" t="inlineStr">
        <is>
          <t>已報</t>
        </is>
      </c>
      <c r="J5" s="10" t="inlineStr">
        <is>
          <t>候補</t>
        </is>
      </c>
      <c r="K5" s="10" t="inlineStr">
        <is>
          <t>滿班率</t>
        </is>
      </c>
      <c r="L5" s="10" t="inlineStr">
        <is>
          <t>月費參考</t>
        </is>
      </c>
      <c r="M5" s="10" t="inlineStr">
        <is>
          <t>預估月營收</t>
        </is>
      </c>
      <c r="N5" s="10" t="inlineStr">
        <is>
          <t>狀態</t>
        </is>
      </c>
      <c r="O5" s="10" t="inlineStr">
        <is>
          <t>備註</t>
        </is>
      </c>
    </row>
    <row r="6">
      <c r="A6" s="11" t="inlineStr">
        <is>
          <t>星期一</t>
        </is>
      </c>
      <c r="B6" s="11" t="inlineStr">
        <is>
          <t>15:30–18:30</t>
        </is>
      </c>
      <c r="C6" s="11" t="inlineStr">
        <is>
          <t>小學功課輔導</t>
        </is>
      </c>
      <c r="D6" s="11" t="inlineStr">
        <is>
          <t>功課輔導</t>
        </is>
      </c>
      <c r="E6" s="11" t="inlineStr">
        <is>
          <t>導師A</t>
        </is>
      </c>
      <c r="F6" s="11" t="inlineStr">
        <is>
          <t>課室A</t>
        </is>
      </c>
      <c r="G6" s="11" t="inlineStr">
        <is>
          <t>P1–P6</t>
        </is>
      </c>
      <c r="H6" s="11" t="n">
        <v>12</v>
      </c>
      <c r="I6" s="11" t="n">
        <v>10</v>
      </c>
      <c r="J6" s="11" t="n">
        <v>2</v>
      </c>
      <c r="K6" s="24">
        <f>IF(H6=0,"—",TEXT(I6/H6,"0%"))</f>
        <v/>
      </c>
      <c r="L6" s="11" t="n">
        <v>1980</v>
      </c>
      <c r="M6" s="24">
        <f>I6*L6</f>
        <v/>
      </c>
      <c r="N6" s="11" t="inlineStr">
        <is>
          <t>開班</t>
        </is>
      </c>
      <c r="O6" s="11" t="inlineStr"/>
    </row>
    <row r="7">
      <c r="A7" s="13" t="inlineStr">
        <is>
          <t>星期一</t>
        </is>
      </c>
      <c r="B7" s="13" t="inlineStr">
        <is>
          <t>16:00–19:00</t>
        </is>
      </c>
      <c r="C7" s="13" t="inlineStr">
        <is>
          <t>中學功課輔導</t>
        </is>
      </c>
      <c r="D7" s="13" t="inlineStr">
        <is>
          <t>功課輔導</t>
        </is>
      </c>
      <c r="E7" s="13" t="inlineStr">
        <is>
          <t>導師B</t>
        </is>
      </c>
      <c r="F7" s="13" t="inlineStr">
        <is>
          <t>課室B</t>
        </is>
      </c>
      <c r="G7" s="13" t="inlineStr">
        <is>
          <t>S1–S3</t>
        </is>
      </c>
      <c r="H7" s="13" t="n">
        <v>10</v>
      </c>
      <c r="I7" s="13" t="n">
        <v>8</v>
      </c>
      <c r="J7" s="13" t="n">
        <v>0</v>
      </c>
      <c r="K7" s="25">
        <f>IF(H7=0,"—",TEXT(I7/H7,"0%"))</f>
        <v/>
      </c>
      <c r="L7" s="13" t="n">
        <v>2480</v>
      </c>
      <c r="M7" s="25">
        <f>I7*L7</f>
        <v/>
      </c>
      <c r="N7" s="13" t="inlineStr">
        <is>
          <t>開班</t>
        </is>
      </c>
      <c r="O7" s="13" t="inlineStr"/>
    </row>
    <row r="8">
      <c r="A8" s="11" t="inlineStr">
        <is>
          <t>星期一</t>
        </is>
      </c>
      <c r="B8" s="11" t="inlineStr">
        <is>
          <t>18:30–20:30</t>
        </is>
      </c>
      <c r="C8" s="11" t="inlineStr">
        <is>
          <t>DSE 英文</t>
        </is>
      </c>
      <c r="D8" s="11" t="inlineStr">
        <is>
          <t>DSE</t>
        </is>
      </c>
      <c r="E8" s="11" t="inlineStr">
        <is>
          <t>導師A</t>
        </is>
      </c>
      <c r="F8" s="11" t="inlineStr">
        <is>
          <t>課室A</t>
        </is>
      </c>
      <c r="G8" s="11" t="inlineStr">
        <is>
          <t>S4–S6</t>
        </is>
      </c>
      <c r="H8" s="11" t="n">
        <v>12</v>
      </c>
      <c r="I8" s="11" t="n">
        <v>9</v>
      </c>
      <c r="J8" s="11" t="n">
        <v>1</v>
      </c>
      <c r="K8" s="24">
        <f>IF(H8=0,"—",TEXT(I8/H8,"0%"))</f>
        <v/>
      </c>
      <c r="L8" s="11" t="n">
        <v>1180</v>
      </c>
      <c r="M8" s="24">
        <f>I8*L8</f>
        <v/>
      </c>
      <c r="N8" s="11" t="inlineStr">
        <is>
          <t>開班</t>
        </is>
      </c>
      <c r="O8" s="11" t="inlineStr"/>
    </row>
    <row r="9">
      <c r="A9" s="13" t="inlineStr">
        <is>
          <t>星期二</t>
        </is>
      </c>
      <c r="B9" s="13" t="inlineStr">
        <is>
          <t>18:30–20:30</t>
        </is>
      </c>
      <c r="C9" s="13" t="inlineStr">
        <is>
          <t>DSE 中文</t>
        </is>
      </c>
      <c r="D9" s="13" t="inlineStr">
        <is>
          <t>DSE</t>
        </is>
      </c>
      <c r="E9" s="13" t="inlineStr">
        <is>
          <t>導師B</t>
        </is>
      </c>
      <c r="F9" s="13" t="inlineStr">
        <is>
          <t>課室B</t>
        </is>
      </c>
      <c r="G9" s="13" t="inlineStr">
        <is>
          <t>S4–S6</t>
        </is>
      </c>
      <c r="H9" s="13" t="n">
        <v>12</v>
      </c>
      <c r="I9" s="13" t="n">
        <v>7</v>
      </c>
      <c r="J9" s="13" t="n">
        <v>0</v>
      </c>
      <c r="K9" s="25">
        <f>IF(H9=0,"—",TEXT(I9/H9,"0%"))</f>
        <v/>
      </c>
      <c r="L9" s="13" t="n">
        <v>1180</v>
      </c>
      <c r="M9" s="25">
        <f>I9*L9</f>
        <v/>
      </c>
      <c r="N9" s="13" t="inlineStr">
        <is>
          <t>開班</t>
        </is>
      </c>
      <c r="O9" s="13" t="inlineStr"/>
    </row>
    <row r="10">
      <c r="A10" s="11" t="inlineStr">
        <is>
          <t>星期三</t>
        </is>
      </c>
      <c r="B10" s="11" t="inlineStr">
        <is>
          <t>18:30–20:30</t>
        </is>
      </c>
      <c r="C10" s="11" t="inlineStr">
        <is>
          <t>DSE 英文</t>
        </is>
      </c>
      <c r="D10" s="11" t="inlineStr">
        <is>
          <t>DSE</t>
        </is>
      </c>
      <c r="E10" s="11" t="inlineStr">
        <is>
          <t>導師A</t>
        </is>
      </c>
      <c r="F10" s="11" t="inlineStr">
        <is>
          <t>課室A</t>
        </is>
      </c>
      <c r="G10" s="11" t="inlineStr">
        <is>
          <t>S4–S6</t>
        </is>
      </c>
      <c r="H10" s="11" t="n">
        <v>12</v>
      </c>
      <c r="I10" s="11" t="n">
        <v>9</v>
      </c>
      <c r="J10" s="11" t="n">
        <v>0</v>
      </c>
      <c r="K10" s="24">
        <f>IF(H10=0,"—",TEXT(I10/H10,"0%"))</f>
        <v/>
      </c>
      <c r="L10" s="11" t="n">
        <v>1180</v>
      </c>
      <c r="M10" s="24">
        <f>I10*L10</f>
        <v/>
      </c>
      <c r="N10" s="11" t="inlineStr">
        <is>
          <t>開班</t>
        </is>
      </c>
      <c r="O10" s="11" t="inlineStr"/>
    </row>
    <row r="11">
      <c r="A11" s="13" t="inlineStr">
        <is>
          <t>星期四</t>
        </is>
      </c>
      <c r="B11" s="13" t="inlineStr">
        <is>
          <t>18:30–20:30</t>
        </is>
      </c>
      <c r="C11" s="13" t="inlineStr">
        <is>
          <t>DSE 中文</t>
        </is>
      </c>
      <c r="D11" s="13" t="inlineStr">
        <is>
          <t>DSE</t>
        </is>
      </c>
      <c r="E11" s="13" t="inlineStr">
        <is>
          <t>導師B</t>
        </is>
      </c>
      <c r="F11" s="13" t="inlineStr">
        <is>
          <t>課室B</t>
        </is>
      </c>
      <c r="G11" s="13" t="inlineStr">
        <is>
          <t>S4–S6</t>
        </is>
      </c>
      <c r="H11" s="13" t="n">
        <v>12</v>
      </c>
      <c r="I11" s="13" t="n">
        <v>7</v>
      </c>
      <c r="J11" s="13" t="n">
        <v>0</v>
      </c>
      <c r="K11" s="25">
        <f>IF(H11=0,"—",TEXT(I11/H11,"0%"))</f>
        <v/>
      </c>
      <c r="L11" s="13" t="n">
        <v>1180</v>
      </c>
      <c r="M11" s="25">
        <f>I11*L11</f>
        <v/>
      </c>
      <c r="N11" s="13" t="inlineStr">
        <is>
          <t>開班</t>
        </is>
      </c>
      <c r="O11" s="13" t="inlineStr"/>
    </row>
    <row r="12">
      <c r="A12" s="11" t="inlineStr">
        <is>
          <t>星期五</t>
        </is>
      </c>
      <c r="B12" s="11" t="inlineStr">
        <is>
          <t>18:30–20:30</t>
        </is>
      </c>
      <c r="C12" s="11" t="inlineStr">
        <is>
          <t>DSE 數學</t>
        </is>
      </c>
      <c r="D12" s="11" t="inlineStr">
        <is>
          <t>DSE</t>
        </is>
      </c>
      <c r="E12" s="11" t="inlineStr">
        <is>
          <t>導師A</t>
        </is>
      </c>
      <c r="F12" s="11" t="inlineStr">
        <is>
          <t>課室A</t>
        </is>
      </c>
      <c r="G12" s="11" t="inlineStr">
        <is>
          <t>S4–S6</t>
        </is>
      </c>
      <c r="H12" s="11" t="n">
        <v>12</v>
      </c>
      <c r="I12" s="11" t="n">
        <v>8</v>
      </c>
      <c r="J12" s="11" t="n">
        <v>0</v>
      </c>
      <c r="K12" s="24">
        <f>IF(H12=0,"—",TEXT(I12/H12,"0%"))</f>
        <v/>
      </c>
      <c r="L12" s="11" t="n">
        <v>1180</v>
      </c>
      <c r="M12" s="24">
        <f>I12*L12</f>
        <v/>
      </c>
      <c r="N12" s="11" t="inlineStr">
        <is>
          <t>開班</t>
        </is>
      </c>
      <c r="O12" s="11" t="inlineStr"/>
    </row>
    <row r="13">
      <c r="A13" s="13" t="inlineStr">
        <is>
          <t>星期六</t>
        </is>
      </c>
      <c r="B13" s="13" t="inlineStr">
        <is>
          <t>10:00–12:00</t>
        </is>
      </c>
      <c r="C13" s="13" t="inlineStr">
        <is>
          <t>時間管理習慣班</t>
        </is>
      </c>
      <c r="D13" s="13" t="inlineStr">
        <is>
          <t>習慣養成</t>
        </is>
      </c>
      <c r="E13" s="13" t="inlineStr">
        <is>
          <t>兼職C</t>
        </is>
      </c>
      <c r="F13" s="13" t="inlineStr">
        <is>
          <t>課室B</t>
        </is>
      </c>
      <c r="G13" s="13" t="inlineStr">
        <is>
          <t>P1–S3</t>
        </is>
      </c>
      <c r="H13" s="13" t="n">
        <v>10</v>
      </c>
      <c r="I13" s="13" t="n">
        <v>6</v>
      </c>
      <c r="J13" s="13" t="n">
        <v>0</v>
      </c>
      <c r="K13" s="25">
        <f>IF(H13=0,"—",TEXT(I13/H13,"0%"))</f>
        <v/>
      </c>
      <c r="L13" s="13" t="n">
        <v>680</v>
      </c>
      <c r="M13" s="25">
        <f>I13*L13</f>
        <v/>
      </c>
      <c r="N13" s="13" t="inlineStr">
        <is>
          <t>開班</t>
        </is>
      </c>
      <c r="O13" s="13" t="inlineStr"/>
    </row>
    <row r="14">
      <c r="A14" s="11" t="inlineStr">
        <is>
          <t>星期六</t>
        </is>
      </c>
      <c r="B14" s="11" t="inlineStr">
        <is>
          <t>14:00–16:00</t>
        </is>
      </c>
      <c r="C14" s="11" t="inlineStr">
        <is>
          <t>籃球基礎班</t>
        </is>
      </c>
      <c r="D14" s="11" t="inlineStr">
        <is>
          <t>體育運動</t>
        </is>
      </c>
      <c r="E14" s="11" t="inlineStr">
        <is>
          <t>兼職D</t>
        </is>
      </c>
      <c r="F14" s="11" t="inlineStr">
        <is>
          <t>戶外</t>
        </is>
      </c>
      <c r="G14" s="11" t="inlineStr">
        <is>
          <t>P1–S6</t>
        </is>
      </c>
      <c r="H14" s="11" t="n">
        <v>12</v>
      </c>
      <c r="I14" s="11" t="n">
        <v>8</v>
      </c>
      <c r="J14" s="11" t="n">
        <v>2</v>
      </c>
      <c r="K14" s="24">
        <f>IF(H14=0,"—",TEXT(I14/H14,"0%"))</f>
        <v/>
      </c>
      <c r="L14" s="11" t="n">
        <v>720</v>
      </c>
      <c r="M14" s="24">
        <f>I14*L14</f>
        <v/>
      </c>
      <c r="N14" s="11" t="inlineStr">
        <is>
          <t>開班</t>
        </is>
      </c>
      <c r="O14" s="11" t="inlineStr"/>
    </row>
    <row r="15">
      <c r="A15" s="13" t="inlineStr">
        <is>
          <t>星期日</t>
        </is>
      </c>
      <c r="B15" s="13" t="inlineStr">
        <is>
          <t>10:00–12:00</t>
        </is>
      </c>
      <c r="C15" s="13" t="inlineStr">
        <is>
          <t>專注力學習班</t>
        </is>
      </c>
      <c r="D15" s="13" t="inlineStr">
        <is>
          <t>習慣養成</t>
        </is>
      </c>
      <c r="E15" s="13" t="inlineStr">
        <is>
          <t>兼職C</t>
        </is>
      </c>
      <c r="F15" s="13" t="inlineStr">
        <is>
          <t>課室A</t>
        </is>
      </c>
      <c r="G15" s="13" t="inlineStr">
        <is>
          <t>P1–S3</t>
        </is>
      </c>
      <c r="H15" s="13" t="n">
        <v>10</v>
      </c>
      <c r="I15" s="13" t="n">
        <v>5</v>
      </c>
      <c r="J15" s="13" t="n">
        <v>0</v>
      </c>
      <c r="K15" s="25">
        <f>IF(H15=0,"—",TEXT(I15/H15,"0%"))</f>
        <v/>
      </c>
      <c r="L15" s="13" t="n">
        <v>680</v>
      </c>
      <c r="M15" s="25">
        <f>I15*L15</f>
        <v/>
      </c>
      <c r="N15" s="13" t="inlineStr">
        <is>
          <t>開班</t>
        </is>
      </c>
      <c r="O15" s="13" t="inlineStr"/>
    </row>
    <row r="203">
      <c r="A203" s="15" t="inlineStr">
        <is>
          <t>📊 排課表 · 總數統計</t>
        </is>
      </c>
      <c r="B203" s="16" t="n"/>
      <c r="C203" s="16" t="n"/>
      <c r="D203" s="16" t="n"/>
    </row>
    <row r="204">
      <c r="A204" s="17" t="inlineStr">
        <is>
          <t>開班課程總數</t>
        </is>
      </c>
      <c r="B204" s="26" t="n"/>
      <c r="C204" s="26" t="n"/>
      <c r="D204" s="26" t="n"/>
      <c r="E204" s="26" t="n"/>
      <c r="F204" s="26" t="n"/>
      <c r="G204" s="26" t="n"/>
      <c r="H204" s="18" t="n"/>
      <c r="I204" s="19">
        <f>COUNTA(A6:A200)</f>
        <v/>
      </c>
    </row>
    <row r="205">
      <c r="A205" s="17" t="inlineStr">
        <is>
          <t>班額總數</t>
        </is>
      </c>
      <c r="B205" s="26" t="n"/>
      <c r="C205" s="26" t="n"/>
      <c r="D205" s="26" t="n"/>
      <c r="E205" s="26" t="n"/>
      <c r="F205" s="26" t="n"/>
      <c r="G205" s="26" t="n"/>
      <c r="H205" s="18" t="n"/>
      <c r="I205" s="19">
        <f>SUM(H6:H200)</f>
        <v/>
      </c>
    </row>
    <row r="206">
      <c r="A206" s="17" t="inlineStr">
        <is>
          <t>已報學生總數</t>
        </is>
      </c>
      <c r="B206" s="26" t="n"/>
      <c r="C206" s="26" t="n"/>
      <c r="D206" s="26" t="n"/>
      <c r="E206" s="26" t="n"/>
      <c r="F206" s="26" t="n"/>
      <c r="G206" s="26" t="n"/>
      <c r="H206" s="18" t="n"/>
      <c r="I206" s="19">
        <f>SUM(I6:I200)</f>
        <v/>
      </c>
    </row>
    <row r="207">
      <c r="A207" s="17" t="inlineStr">
        <is>
          <t>候補總數</t>
        </is>
      </c>
      <c r="B207" s="26" t="n"/>
      <c r="C207" s="26" t="n"/>
      <c r="D207" s="26" t="n"/>
      <c r="E207" s="26" t="n"/>
      <c r="F207" s="26" t="n"/>
      <c r="G207" s="26" t="n"/>
      <c r="H207" s="18" t="n"/>
      <c r="I207" s="19">
        <f>SUM(J6:J200)</f>
        <v/>
      </c>
    </row>
    <row r="208">
      <c r="A208" s="17" t="inlineStr">
        <is>
          <t>預估月營收總數</t>
        </is>
      </c>
      <c r="B208" s="26" t="n"/>
      <c r="C208" s="26" t="n"/>
      <c r="D208" s="26" t="n"/>
      <c r="E208" s="26" t="n"/>
      <c r="F208" s="26" t="n"/>
      <c r="G208" s="26" t="n"/>
      <c r="H208" s="18" t="n"/>
      <c r="I208" s="19">
        <f>SUM(M6:M200)</f>
        <v/>
      </c>
    </row>
    <row r="209">
      <c r="A209" s="17" t="inlineStr">
        <is>
          <t>平均滿班率</t>
        </is>
      </c>
      <c r="B209" s="26" t="n"/>
      <c r="C209" s="26" t="n"/>
      <c r="D209" s="26" t="n"/>
      <c r="E209" s="26" t="n"/>
      <c r="F209" s="26" t="n"/>
      <c r="G209" s="26" t="n"/>
      <c r="H209" s="18" t="n"/>
      <c r="I209" s="27">
        <f>IFERROR(SUM(I6:I200)/SUM(H6:H200),0)</f>
        <v/>
      </c>
    </row>
    <row r="210">
      <c r="A210" s="17" t="inlineStr">
        <is>
          <t>功課輔導班數</t>
        </is>
      </c>
      <c r="B210" s="26" t="n"/>
      <c r="C210" s="26" t="n"/>
      <c r="D210" s="26" t="n"/>
      <c r="E210" s="26" t="n"/>
      <c r="F210" s="26" t="n"/>
      <c r="G210" s="26" t="n"/>
      <c r="H210" s="18" t="n"/>
      <c r="I210" s="19">
        <f>COUNTIF(D6:D200,"功課輔導")</f>
        <v/>
      </c>
    </row>
    <row r="211">
      <c r="A211" s="17" t="inlineStr">
        <is>
          <t>DSE班數</t>
        </is>
      </c>
      <c r="B211" s="26" t="n"/>
      <c r="C211" s="26" t="n"/>
      <c r="D211" s="26" t="n"/>
      <c r="E211" s="26" t="n"/>
      <c r="F211" s="26" t="n"/>
      <c r="G211" s="26" t="n"/>
      <c r="H211" s="18" t="n"/>
      <c r="I211" s="19">
        <f>COUNTIF(D6:D200,"DSE")</f>
        <v/>
      </c>
    </row>
  </sheetData>
  <mergeCells count="11">
    <mergeCell ref="A206:H206"/>
    <mergeCell ref="A209:H209"/>
    <mergeCell ref="A2:O2"/>
    <mergeCell ref="A211:H211"/>
    <mergeCell ref="A204:H204"/>
    <mergeCell ref="A205:H205"/>
    <mergeCell ref="A210:H210"/>
    <mergeCell ref="A1:O1"/>
    <mergeCell ref="A207:H207"/>
    <mergeCell ref="A208:H208"/>
    <mergeCell ref="A203:D203"/>
  </mergeCells>
  <dataValidations count="2">
    <dataValidation sqref="D6:D200" showDropDown="0" showInputMessage="0" showErrorMessage="0" allowBlank="1" type="list">
      <formula1>"功課輔導,DSE,習慣養成,體育運動,暑期班,VIP"</formula1>
    </dataValidation>
    <dataValidation sqref="N6:N200" showDropDown="0" showInputMessage="0" showErrorMessage="0" allowBlank="1" type="list">
      <formula1>"開班,滿班,候補,暫停,取消"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6" customWidth="1" min="3" max="3"/>
    <col width="8" customWidth="1" min="4" max="4"/>
    <col width="16" customWidth="1" min="5" max="5"/>
    <col width="8" customWidth="1" min="6" max="6"/>
    <col width="14" customWidth="1" min="7" max="7"/>
    <col width="8" customWidth="1" min="8" max="8"/>
    <col width="9" customWidth="1" min="9" max="9"/>
    <col width="9" customWidth="1" min="10" max="10"/>
    <col width="14" customWidth="1" min="11" max="11"/>
  </cols>
  <sheetData>
    <row r="1">
      <c r="A1" s="1" t="inlineStr">
        <is>
          <t>俊才坊補習社 · 課室使用表</t>
        </is>
      </c>
    </row>
    <row r="2">
      <c r="A2" s="2" t="inlineStr">
        <is>
          <t>空閒時段統計 · 每呎產值總數</t>
        </is>
      </c>
    </row>
    <row r="5" ht="30" customHeight="1">
      <c r="A5" s="10" t="inlineStr">
        <is>
          <t>星期</t>
        </is>
      </c>
      <c r="B5" s="10" t="inlineStr">
        <is>
          <t>時段</t>
        </is>
      </c>
      <c r="C5" s="10" t="inlineStr">
        <is>
          <t>課室A</t>
        </is>
      </c>
      <c r="D5" s="10" t="inlineStr">
        <is>
          <t>課室A狀態</t>
        </is>
      </c>
      <c r="E5" s="10" t="inlineStr">
        <is>
          <t>課室B</t>
        </is>
      </c>
      <c r="F5" s="10" t="inlineStr">
        <is>
          <t>課室B狀態</t>
        </is>
      </c>
      <c r="G5" s="10" t="inlineStr">
        <is>
          <t>VIP室</t>
        </is>
      </c>
      <c r="H5" s="10" t="inlineStr">
        <is>
          <t>VIP室狀態</t>
        </is>
      </c>
      <c r="I5" s="10" t="inlineStr">
        <is>
          <t>負責導師</t>
        </is>
      </c>
      <c r="J5" s="10" t="inlineStr">
        <is>
          <t>每呎產值</t>
        </is>
      </c>
      <c r="K5" s="10" t="inlineStr">
        <is>
          <t>備註</t>
        </is>
      </c>
    </row>
    <row r="6">
      <c r="A6" s="11" t="inlineStr">
        <is>
          <t>星期一</t>
        </is>
      </c>
      <c r="B6" s="11" t="inlineStr">
        <is>
          <t>15:30–18:30</t>
        </is>
      </c>
      <c r="C6" s="11" t="inlineStr">
        <is>
          <t>小學功課輔導</t>
        </is>
      </c>
      <c r="D6" s="11" t="inlineStr">
        <is>
          <t>使用中</t>
        </is>
      </c>
      <c r="E6" s="11" t="inlineStr">
        <is>
          <t>中學功課輔導</t>
        </is>
      </c>
      <c r="F6" s="11" t="inlineStr">
        <is>
          <t>使用中</t>
        </is>
      </c>
      <c r="G6" s="11" t="inlineStr">
        <is>
          <t>—</t>
        </is>
      </c>
      <c r="H6" s="11" t="inlineStr">
        <is>
          <t>空閒</t>
        </is>
      </c>
      <c r="I6" s="11" t="inlineStr">
        <is>
          <t>導師A/B</t>
        </is>
      </c>
      <c r="J6" s="24">
        <f>IF(D6="空閒",200,IF(F6="空閒",150,IF(H6="空閒",250,100)))</f>
        <v/>
      </c>
      <c r="K6" s="11" t="inlineStr"/>
    </row>
    <row r="7">
      <c r="A7" s="13" t="inlineStr">
        <is>
          <t>星期一</t>
        </is>
      </c>
      <c r="B7" s="13" t="inlineStr">
        <is>
          <t>18:30–20:30</t>
        </is>
      </c>
      <c r="C7" s="13" t="inlineStr">
        <is>
          <t>DSE英文</t>
        </is>
      </c>
      <c r="D7" s="13" t="inlineStr">
        <is>
          <t>使用中</t>
        </is>
      </c>
      <c r="E7" s="13" t="inlineStr">
        <is>
          <t>—</t>
        </is>
      </c>
      <c r="F7" s="13" t="inlineStr">
        <is>
          <t>空閒</t>
        </is>
      </c>
      <c r="G7" s="13" t="inlineStr">
        <is>
          <t>1對1 VIP</t>
        </is>
      </c>
      <c r="H7" s="13" t="inlineStr">
        <is>
          <t>使用中</t>
        </is>
      </c>
      <c r="I7" s="13" t="inlineStr">
        <is>
          <t>導師A</t>
        </is>
      </c>
      <c r="J7" s="25">
        <f>IF(D7="空閒",200,IF(F7="空閒",150,IF(H7="空閒",250,100)))</f>
        <v/>
      </c>
      <c r="K7" s="13" t="inlineStr"/>
    </row>
    <row r="8">
      <c r="A8" s="11" t="inlineStr">
        <is>
          <t>星期二</t>
        </is>
      </c>
      <c r="B8" s="11" t="inlineStr">
        <is>
          <t>15:30–18:30</t>
        </is>
      </c>
      <c r="C8" s="11" t="inlineStr">
        <is>
          <t>小學功課輔導</t>
        </is>
      </c>
      <c r="D8" s="11" t="inlineStr">
        <is>
          <t>使用中</t>
        </is>
      </c>
      <c r="E8" s="11" t="inlineStr">
        <is>
          <t>中學功課輔導</t>
        </is>
      </c>
      <c r="F8" s="11" t="inlineStr">
        <is>
          <t>使用中</t>
        </is>
      </c>
      <c r="G8" s="11" t="inlineStr">
        <is>
          <t>—</t>
        </is>
      </c>
      <c r="H8" s="11" t="inlineStr">
        <is>
          <t>空閒</t>
        </is>
      </c>
      <c r="I8" s="11" t="inlineStr">
        <is>
          <t>導師A/B</t>
        </is>
      </c>
      <c r="J8" s="24">
        <f>IF(D8="空閒",200,IF(F8="空閒",150,IF(H8="空閒",250,100)))</f>
        <v/>
      </c>
      <c r="K8" s="11" t="inlineStr"/>
    </row>
    <row r="9">
      <c r="A9" s="13" t="inlineStr">
        <is>
          <t>星期三</t>
        </is>
      </c>
      <c r="B9" s="13" t="inlineStr">
        <is>
          <t>15:30–18:30</t>
        </is>
      </c>
      <c r="C9" s="13" t="inlineStr">
        <is>
          <t>小學功課輔導</t>
        </is>
      </c>
      <c r="D9" s="13" t="inlineStr">
        <is>
          <t>使用中</t>
        </is>
      </c>
      <c r="E9" s="13" t="inlineStr">
        <is>
          <t>—</t>
        </is>
      </c>
      <c r="F9" s="13" t="inlineStr">
        <is>
          <t>空閒</t>
        </is>
      </c>
      <c r="G9" s="13" t="inlineStr">
        <is>
          <t>—</t>
        </is>
      </c>
      <c r="H9" s="13" t="inlineStr">
        <is>
          <t>空閒</t>
        </is>
      </c>
      <c r="I9" s="13" t="inlineStr">
        <is>
          <t>導師A</t>
        </is>
      </c>
      <c r="J9" s="25">
        <f>IF(D9="空閒",200,IF(F9="空閒",150,IF(H9="空閒",250,100)))</f>
        <v/>
      </c>
      <c r="K9" s="13" t="inlineStr"/>
    </row>
    <row r="10">
      <c r="A10" s="11" t="inlineStr">
        <is>
          <t>星期六</t>
        </is>
      </c>
      <c r="B10" s="11" t="inlineStr">
        <is>
          <t>10:00–12:00</t>
        </is>
      </c>
      <c r="C10" s="11" t="inlineStr">
        <is>
          <t>—</t>
        </is>
      </c>
      <c r="D10" s="11" t="inlineStr">
        <is>
          <t>空閒</t>
        </is>
      </c>
      <c r="E10" s="11" t="inlineStr">
        <is>
          <t>習慣班</t>
        </is>
      </c>
      <c r="F10" s="11" t="inlineStr">
        <is>
          <t>使用中</t>
        </is>
      </c>
      <c r="G10" s="11" t="inlineStr">
        <is>
          <t>—</t>
        </is>
      </c>
      <c r="H10" s="11" t="inlineStr">
        <is>
          <t>空閒</t>
        </is>
      </c>
      <c r="I10" s="11" t="inlineStr">
        <is>
          <t>兼職C</t>
        </is>
      </c>
      <c r="J10" s="24">
        <f>IF(D10="空閒",200,IF(F10="空閒",150,IF(H10="空閒",250,100)))</f>
        <v/>
      </c>
      <c r="K10" s="11" t="inlineStr"/>
    </row>
    <row r="11">
      <c r="A11" s="13" t="inlineStr">
        <is>
          <t>星期六</t>
        </is>
      </c>
      <c r="B11" s="13" t="inlineStr">
        <is>
          <t>14:00–18:00</t>
        </is>
      </c>
      <c r="C11" s="13" t="inlineStr">
        <is>
          <t>—</t>
        </is>
      </c>
      <c r="D11" s="13" t="inlineStr">
        <is>
          <t>空閒</t>
        </is>
      </c>
      <c r="E11" s="13" t="inlineStr">
        <is>
          <t>—</t>
        </is>
      </c>
      <c r="F11" s="13" t="inlineStr">
        <is>
          <t>空閒</t>
        </is>
      </c>
      <c r="G11" s="13" t="inlineStr">
        <is>
          <t>1對2 數學</t>
        </is>
      </c>
      <c r="H11" s="13" t="inlineStr">
        <is>
          <t>使用中</t>
        </is>
      </c>
      <c r="I11" s="13" t="inlineStr">
        <is>
          <t>兼職D</t>
        </is>
      </c>
      <c r="J11" s="25">
        <f>IF(D11="空閒",200,IF(F11="空閒",150,IF(H11="空閒",250,100)))</f>
        <v/>
      </c>
      <c r="K11" s="13" t="inlineStr"/>
    </row>
    <row r="203">
      <c r="A203" s="15" t="inlineStr">
        <is>
          <t>📊 課室使用表 · 總數統計</t>
        </is>
      </c>
      <c r="B203" s="16" t="n"/>
      <c r="C203" s="16" t="n"/>
      <c r="D203" s="16" t="n"/>
    </row>
    <row r="204">
      <c r="A204" s="17" t="inlineStr">
        <is>
          <t>時段記錄總數</t>
        </is>
      </c>
      <c r="B204" s="26" t="n"/>
      <c r="C204" s="26" t="n"/>
      <c r="D204" s="26" t="n"/>
      <c r="E204" s="26" t="n"/>
      <c r="F204" s="26" t="n"/>
      <c r="G204" s="26" t="n"/>
      <c r="H204" s="26" t="n"/>
      <c r="I204" s="18" t="n"/>
      <c r="J204" s="19">
        <f>COUNTA(A6:A200)</f>
        <v/>
      </c>
    </row>
    <row r="205">
      <c r="A205" s="17" t="inlineStr">
        <is>
          <t>課室A 空閒總數</t>
        </is>
      </c>
      <c r="B205" s="26" t="n"/>
      <c r="C205" s="26" t="n"/>
      <c r="D205" s="26" t="n"/>
      <c r="E205" s="26" t="n"/>
      <c r="F205" s="26" t="n"/>
      <c r="G205" s="26" t="n"/>
      <c r="H205" s="26" t="n"/>
      <c r="I205" s="18" t="n"/>
      <c r="J205" s="19">
        <f>COUNTIF(D6:D200,"空閒")</f>
        <v/>
      </c>
    </row>
    <row r="206">
      <c r="A206" s="17" t="inlineStr">
        <is>
          <t>課室B 空閒總數</t>
        </is>
      </c>
      <c r="B206" s="26" t="n"/>
      <c r="C206" s="26" t="n"/>
      <c r="D206" s="26" t="n"/>
      <c r="E206" s="26" t="n"/>
      <c r="F206" s="26" t="n"/>
      <c r="G206" s="26" t="n"/>
      <c r="H206" s="26" t="n"/>
      <c r="I206" s="18" t="n"/>
      <c r="J206" s="19">
        <f>COUNTIF(F6:F200,"空閒")</f>
        <v/>
      </c>
    </row>
    <row r="207">
      <c r="A207" s="17" t="inlineStr">
        <is>
          <t>VIP室 空閒總數</t>
        </is>
      </c>
      <c r="B207" s="26" t="n"/>
      <c r="C207" s="26" t="n"/>
      <c r="D207" s="26" t="n"/>
      <c r="E207" s="26" t="n"/>
      <c r="F207" s="26" t="n"/>
      <c r="G207" s="26" t="n"/>
      <c r="H207" s="26" t="n"/>
      <c r="I207" s="18" t="n"/>
      <c r="J207" s="19">
        <f>COUNTIF(H6:H200,"空閒")</f>
        <v/>
      </c>
    </row>
    <row r="208">
      <c r="A208" s="17" t="inlineStr">
        <is>
          <t>空閒時段合計</t>
        </is>
      </c>
      <c r="B208" s="26" t="n"/>
      <c r="C208" s="26" t="n"/>
      <c r="D208" s="26" t="n"/>
      <c r="E208" s="26" t="n"/>
      <c r="F208" s="26" t="n"/>
      <c r="G208" s="26" t="n"/>
      <c r="H208" s="26" t="n"/>
      <c r="I208" s="18" t="n"/>
      <c r="J208" s="19">
        <f>COUNTIF(D6:D200,"空閒")+COUNTIF(F6:F200,"空閒")+COUNTIF(H6:H200,"空閒")</f>
        <v/>
      </c>
    </row>
    <row r="209">
      <c r="A209" s="17" t="inlineStr">
        <is>
          <t>使用中時段合計</t>
        </is>
      </c>
      <c r="B209" s="26" t="n"/>
      <c r="C209" s="26" t="n"/>
      <c r="D209" s="26" t="n"/>
      <c r="E209" s="26" t="n"/>
      <c r="F209" s="26" t="n"/>
      <c r="G209" s="26" t="n"/>
      <c r="H209" s="26" t="n"/>
      <c r="I209" s="18" t="n"/>
      <c r="J209" s="19">
        <f>COUNTIF(D6:D200,"使用中")+COUNTIF(F6:F200,"使用中")+COUNTIF(H6:H200,"使用中")</f>
        <v/>
      </c>
    </row>
    <row r="210">
      <c r="A210" s="17" t="inlineStr">
        <is>
          <t>平均呎產值</t>
        </is>
      </c>
      <c r="B210" s="26" t="n"/>
      <c r="C210" s="26" t="n"/>
      <c r="D210" s="26" t="n"/>
      <c r="E210" s="26" t="n"/>
      <c r="F210" s="26" t="n"/>
      <c r="G210" s="26" t="n"/>
      <c r="H210" s="26" t="n"/>
      <c r="I210" s="18" t="n"/>
      <c r="J210" s="19">
        <f>IFERROR(AVERAGE(J6:J200),0)</f>
        <v/>
      </c>
    </row>
  </sheetData>
  <mergeCells count="10">
    <mergeCell ref="A203:D203"/>
    <mergeCell ref="A204:I204"/>
    <mergeCell ref="A208:I208"/>
    <mergeCell ref="A207:I207"/>
    <mergeCell ref="A2:K2"/>
    <mergeCell ref="A206:I206"/>
    <mergeCell ref="A1:K1"/>
    <mergeCell ref="A209:I209"/>
    <mergeCell ref="A210:I210"/>
    <mergeCell ref="A205:I205"/>
  </mergeCells>
  <conditionalFormatting sqref="D6:D200">
    <cfRule type="expression" priority="1" dxfId="2">
      <formula>$D6="空閒"</formula>
    </cfRule>
  </conditionalFormatting>
  <dataValidations count="3">
    <dataValidation sqref="D6:D200" showDropDown="0" showInputMessage="0" showErrorMessage="0" allowBlank="1" type="list">
      <formula1>"使用中,空閒,清潔中,維修"</formula1>
    </dataValidation>
    <dataValidation sqref="F6:F200" showDropDown="0" showInputMessage="0" showErrorMessage="0" allowBlank="1" type="list">
      <formula1>"使用中,空閒,清潔中,維修"</formula1>
    </dataValidation>
    <dataValidation sqref="H6:H200" showDropDown="0" showInputMessage="0" showErrorMessage="0" allowBlank="1" type="list">
      <formula1>"使用中,空閒,清潔中,維修"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8" customWidth="1" min="3" max="3"/>
    <col width="10" customWidth="1" min="4" max="4"/>
    <col width="8" customWidth="1" min="5" max="5"/>
    <col width="9" customWidth="1" min="6" max="6"/>
    <col width="9" customWidth="1" min="7" max="7"/>
    <col width="7" customWidth="1" min="8" max="8"/>
    <col width="7" customWidth="1" min="9" max="9"/>
    <col width="7" customWidth="1" min="10" max="10"/>
    <col width="7" customWidth="1" min="11" max="11"/>
    <col width="10" customWidth="1" min="12" max="12"/>
    <col width="10" customWidth="1" min="13" max="13"/>
    <col width="8" customWidth="1" min="14" max="14"/>
    <col width="9" customWidth="1" min="15" max="15"/>
    <col width="14" customWidth="1" min="16" max="16"/>
  </cols>
  <sheetData>
    <row r="1">
      <c r="A1" s="1" t="inlineStr">
        <is>
          <t>俊才坊補習社 · 財務月結表</t>
        </is>
      </c>
    </row>
    <row r="2">
      <c r="A2" s="2" t="inlineStr">
        <is>
          <t>自動 P&amp;L · 底部年度總數</t>
        </is>
      </c>
    </row>
    <row r="5" ht="30" customHeight="1">
      <c r="A5" s="10" t="inlineStr">
        <is>
          <t>月份</t>
        </is>
      </c>
      <c r="B5" s="10" t="inlineStr">
        <is>
          <t>學生數</t>
        </is>
      </c>
      <c r="C5" s="10" t="inlineStr">
        <is>
          <t>ARPU</t>
        </is>
      </c>
      <c r="D5" s="10" t="inlineStr">
        <is>
          <t>月營收</t>
        </is>
      </c>
      <c r="E5" s="10" t="inlineStr">
        <is>
          <t>租金</t>
        </is>
      </c>
      <c r="F5" s="10" t="inlineStr">
        <is>
          <t>全職導師</t>
        </is>
      </c>
      <c r="G5" s="10" t="inlineStr">
        <is>
          <t>兼職導師</t>
        </is>
      </c>
      <c r="H5" s="10" t="inlineStr">
        <is>
          <t>水電</t>
        </is>
      </c>
      <c r="I5" s="10" t="inlineStr">
        <is>
          <t>雜費</t>
        </is>
      </c>
      <c r="J5" s="10" t="inlineStr">
        <is>
          <t>推廣</t>
        </is>
      </c>
      <c r="K5" s="10" t="inlineStr">
        <is>
          <t>其他</t>
        </is>
      </c>
      <c r="L5" s="10" t="inlineStr">
        <is>
          <t>總成本</t>
        </is>
      </c>
      <c r="M5" s="10" t="inlineStr">
        <is>
          <t>月淨利</t>
        </is>
      </c>
      <c r="N5" s="10" t="inlineStr">
        <is>
          <t>淨利率</t>
        </is>
      </c>
      <c r="O5" s="10" t="inlineStr">
        <is>
          <t>目標達成率</t>
        </is>
      </c>
      <c r="P5" s="10" t="inlineStr">
        <is>
          <t>備註</t>
        </is>
      </c>
    </row>
    <row r="6">
      <c r="A6" s="11" t="inlineStr">
        <is>
          <t>2026-06</t>
        </is>
      </c>
      <c r="B6" s="11" t="n">
        <v>50</v>
      </c>
      <c r="C6" s="11" t="n">
        <v>3000</v>
      </c>
      <c r="D6" s="11" t="n">
        <v>150000</v>
      </c>
      <c r="E6" s="11" t="n">
        <v>40000</v>
      </c>
      <c r="F6" s="11" t="n">
        <v>45000</v>
      </c>
      <c r="G6" s="11" t="n">
        <v>12000</v>
      </c>
      <c r="H6" s="11" t="n">
        <v>5500</v>
      </c>
      <c r="I6" s="11" t="n">
        <v>5000</v>
      </c>
      <c r="J6" s="11" t="n">
        <v>3000</v>
      </c>
      <c r="K6" s="11" t="n">
        <v>0</v>
      </c>
      <c r="L6" s="24">
        <f>SUM(E6:K6)</f>
        <v/>
      </c>
      <c r="M6" s="24">
        <f>D6-L6</f>
        <v/>
      </c>
      <c r="N6" s="24">
        <f>IF(D6=0,"—",TEXT(M6/D6,"0%"))</f>
        <v/>
      </c>
      <c r="O6" s="24">
        <f>IFERROR(M6/82000,"—")</f>
        <v/>
      </c>
      <c r="P6" s="11" t="inlineStr">
        <is>
          <t>接手首月</t>
        </is>
      </c>
    </row>
    <row r="7">
      <c r="A7" s="13" t="inlineStr">
        <is>
          <t>2026-07</t>
        </is>
      </c>
      <c r="B7" s="13" t="n">
        <v>65</v>
      </c>
      <c r="C7" s="13" t="n">
        <v>3231</v>
      </c>
      <c r="D7" s="13" t="n">
        <v>210000</v>
      </c>
      <c r="E7" s="13" t="n">
        <v>35000</v>
      </c>
      <c r="F7" s="13" t="n">
        <v>45000</v>
      </c>
      <c r="G7" s="13" t="n">
        <v>20000</v>
      </c>
      <c r="H7" s="13" t="n">
        <v>6000</v>
      </c>
      <c r="I7" s="13" t="n">
        <v>5000</v>
      </c>
      <c r="J7" s="13" t="n">
        <v>5000</v>
      </c>
      <c r="K7" s="13" t="n">
        <v>0</v>
      </c>
      <c r="L7" s="25">
        <f>SUM(E7:K7)</f>
        <v/>
      </c>
      <c r="M7" s="25">
        <f>D7-L7</f>
        <v/>
      </c>
      <c r="N7" s="25">
        <f>IF(D7=0,"—",TEXT(M7/D7,"0%"))</f>
        <v/>
      </c>
      <c r="O7" s="25">
        <f>IFERROR(M7/82000,"—")</f>
        <v/>
      </c>
      <c r="P7" s="13" t="inlineStr">
        <is>
          <t>暑假高峰</t>
        </is>
      </c>
    </row>
    <row r="8">
      <c r="A8" s="11" t="inlineStr">
        <is>
          <t>2026-08</t>
        </is>
      </c>
      <c r="B8" s="11" t="n">
        <v>70</v>
      </c>
      <c r="C8" s="11" t="n">
        <v>3500</v>
      </c>
      <c r="D8" s="11" t="n">
        <v>245000</v>
      </c>
      <c r="E8" s="11" t="n">
        <v>35000</v>
      </c>
      <c r="F8" s="11" t="n">
        <v>45000</v>
      </c>
      <c r="G8" s="11" t="n">
        <v>22000</v>
      </c>
      <c r="H8" s="11" t="n">
        <v>6000</v>
      </c>
      <c r="I8" s="11" t="n">
        <v>5000</v>
      </c>
      <c r="J8" s="11" t="n">
        <v>3000</v>
      </c>
      <c r="K8" s="11" t="n">
        <v>0</v>
      </c>
      <c r="L8" s="24">
        <f>SUM(E8:K8)</f>
        <v/>
      </c>
      <c r="M8" s="24">
        <f>D8-L8</f>
        <v/>
      </c>
      <c r="N8" s="24">
        <f>IF(D8=0,"—",TEXT(M8/D8,"0%"))</f>
        <v/>
      </c>
      <c r="O8" s="24">
        <f>IFERROR(M8/82000,"—")</f>
        <v/>
      </c>
      <c r="P8" s="11" t="inlineStr">
        <is>
          <t>暑假高峰</t>
        </is>
      </c>
    </row>
    <row r="9">
      <c r="A9" s="13" t="inlineStr">
        <is>
          <t>2026-09</t>
        </is>
      </c>
      <c r="B9" s="13" t="n">
        <v>60</v>
      </c>
      <c r="C9" s="13" t="n">
        <v>3200</v>
      </c>
      <c r="D9" s="13" t="n">
        <v>192000</v>
      </c>
      <c r="E9" s="13" t="n">
        <v>35000</v>
      </c>
      <c r="F9" s="13" t="n">
        <v>45000</v>
      </c>
      <c r="G9" s="13" t="n">
        <v>15000</v>
      </c>
      <c r="H9" s="13" t="n">
        <v>5500</v>
      </c>
      <c r="I9" s="13" t="n">
        <v>5000</v>
      </c>
      <c r="J9" s="13" t="n">
        <v>3000</v>
      </c>
      <c r="K9" s="13" t="n">
        <v>0</v>
      </c>
      <c r="L9" s="25">
        <f>SUM(E9:K9)</f>
        <v/>
      </c>
      <c r="M9" s="25">
        <f>D9-L9</f>
        <v/>
      </c>
      <c r="N9" s="25">
        <f>IF(D9=0,"—",TEXT(M9/D9,"0%"))</f>
        <v/>
      </c>
      <c r="O9" s="25">
        <f>IFERROR(M9/82000,"—")</f>
        <v/>
      </c>
      <c r="P9" s="13" t="inlineStr">
        <is>
          <t>新學期</t>
        </is>
      </c>
    </row>
    <row r="10">
      <c r="A10" s="11" t="inlineStr">
        <is>
          <t>2026-10</t>
        </is>
      </c>
      <c r="B10" s="11" t="n">
        <v>62</v>
      </c>
      <c r="C10" s="11" t="n">
        <v>3250</v>
      </c>
      <c r="D10" s="11" t="n">
        <v>201500</v>
      </c>
      <c r="E10" s="11" t="n">
        <v>35000</v>
      </c>
      <c r="F10" s="11" t="n">
        <v>45000</v>
      </c>
      <c r="G10" s="11" t="n">
        <v>14000</v>
      </c>
      <c r="H10" s="11" t="n">
        <v>5500</v>
      </c>
      <c r="I10" s="11" t="n">
        <v>5000</v>
      </c>
      <c r="J10" s="11" t="n">
        <v>3000</v>
      </c>
      <c r="K10" s="11" t="n">
        <v>0</v>
      </c>
      <c r="L10" s="24">
        <f>SUM(E10:K10)</f>
        <v/>
      </c>
      <c r="M10" s="24">
        <f>D10-L10</f>
        <v/>
      </c>
      <c r="N10" s="24">
        <f>IF(D10=0,"—",TEXT(M10/D10,"0%"))</f>
        <v/>
      </c>
      <c r="O10" s="24">
        <f>IFERROR(M10/82000,"—")</f>
        <v/>
      </c>
      <c r="P10" s="11" t="inlineStr"/>
    </row>
    <row r="203">
      <c r="A203" s="15" t="inlineStr">
        <is>
          <t>📊 財務月結 · 總數統計</t>
        </is>
      </c>
      <c r="B203" s="16" t="n"/>
      <c r="C203" s="16" t="n"/>
      <c r="D203" s="16" t="n"/>
    </row>
    <row r="204">
      <c r="A204" s="17" t="inlineStr">
        <is>
          <t>記錄月數總數</t>
        </is>
      </c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18" t="n"/>
      <c r="M204" s="19">
        <f>COUNTA(A6:A200)</f>
        <v/>
      </c>
    </row>
    <row r="205">
      <c r="A205" s="17" t="inlineStr">
        <is>
          <t>年度營收總數</t>
        </is>
      </c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18" t="n"/>
      <c r="M205" s="19">
        <f>SUM(D6:D200)</f>
        <v/>
      </c>
    </row>
    <row r="206">
      <c r="A206" s="17" t="inlineStr">
        <is>
          <t>年度成本總數</t>
        </is>
      </c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18" t="n"/>
      <c r="M206" s="19">
        <f>SUM(L6:L200)</f>
        <v/>
      </c>
    </row>
    <row r="207">
      <c r="A207" s="17" t="inlineStr">
        <is>
          <t>年度淨利總數</t>
        </is>
      </c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18" t="n"/>
      <c r="M207" s="19">
        <f>SUM(M6:M200)</f>
        <v/>
      </c>
    </row>
    <row r="208">
      <c r="A208" s="17" t="inlineStr">
        <is>
          <t>平均月營收</t>
        </is>
      </c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18" t="n"/>
      <c r="M208" s="19">
        <f>IFERROR(AVERAGE(D6:D200),0)</f>
        <v/>
      </c>
    </row>
    <row r="209">
      <c r="A209" s="17" t="inlineStr">
        <is>
          <t>平均月淨利</t>
        </is>
      </c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18" t="n"/>
      <c r="M209" s="19">
        <f>IFERROR(AVERAGE(M6:M200),0)</f>
        <v/>
      </c>
    </row>
    <row r="210">
      <c r="A210" s="17" t="inlineStr">
        <is>
          <t>最高月淨利</t>
        </is>
      </c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18" t="n"/>
      <c r="M210" s="19">
        <f>MAX(M6:M200)</f>
        <v/>
      </c>
    </row>
    <row r="211">
      <c r="A211" s="17" t="inlineStr">
        <is>
          <t>平均學生數</t>
        </is>
      </c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18" t="n"/>
      <c r="M211" s="19">
        <f>IFERROR(AVERAGE(B6:B200),0)</f>
        <v/>
      </c>
    </row>
    <row r="212">
      <c r="A212" s="17" t="inlineStr">
        <is>
          <t>平均 ARPU</t>
        </is>
      </c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18" t="n"/>
      <c r="M212" s="19">
        <f>IFERROR(AVERAGE(C6:C200),0)</f>
        <v/>
      </c>
    </row>
  </sheetData>
  <mergeCells count="12">
    <mergeCell ref="A209:L209"/>
    <mergeCell ref="A210:L210"/>
    <mergeCell ref="A205:L205"/>
    <mergeCell ref="A212:L212"/>
    <mergeCell ref="A204:L204"/>
    <mergeCell ref="A1:P1"/>
    <mergeCell ref="A2:P2"/>
    <mergeCell ref="A207:L207"/>
    <mergeCell ref="A208:L208"/>
    <mergeCell ref="A211:L211"/>
    <mergeCell ref="A206:L206"/>
    <mergeCell ref="A203:D203"/>
  </mergeCells>
  <conditionalFormatting sqref="M6:M200">
    <cfRule type="expression" priority="1" dxfId="2">
      <formula>M6&gt;=82000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0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9" customWidth="1" min="3" max="3"/>
    <col width="14" customWidth="1" min="4" max="4"/>
    <col width="8" customWidth="1" min="5" max="5"/>
    <col width="10" customWidth="1" min="6" max="6"/>
    <col width="9" customWidth="1" min="7" max="7"/>
    <col width="9" customWidth="1" min="8" max="8"/>
    <col width="8" customWidth="1" min="9" max="9"/>
    <col width="16" customWidth="1" min="10" max="10"/>
    <col width="12" customWidth="1" min="11" max="11"/>
    <col width="16" customWidth="1" min="12" max="12"/>
    <col width="30" customWidth="1" min="13" max="13"/>
    <col width="7" customWidth="1" min="14" max="14"/>
  </cols>
  <sheetData>
    <row r="1">
      <c r="A1" s="1" t="inlineStr">
        <is>
          <t>俊才坊補習社 · 學習進度報告</t>
        </is>
      </c>
    </row>
    <row r="2">
      <c r="A2" s="2" t="inlineStr">
        <is>
          <t>WhatsApp 訊息自動生成 · 底部總數</t>
        </is>
      </c>
    </row>
    <row r="5" ht="30" customHeight="1">
      <c r="A5" s="10" t="inlineStr">
        <is>
          <t>月份</t>
        </is>
      </c>
      <c r="B5" s="10" t="inlineStr">
        <is>
          <t>學號</t>
        </is>
      </c>
      <c r="C5" s="10" t="inlineStr">
        <is>
          <t>學生姓名</t>
        </is>
      </c>
      <c r="D5" s="10" t="inlineStr">
        <is>
          <t>課程</t>
        </is>
      </c>
      <c r="E5" s="10" t="inlineStr">
        <is>
          <t>出席率</t>
        </is>
      </c>
      <c r="F5" s="10" t="inlineStr">
        <is>
          <t>功課完成率</t>
        </is>
      </c>
      <c r="G5" s="10" t="inlineStr">
        <is>
          <t>測驗分數</t>
        </is>
      </c>
      <c r="H5" s="10" t="inlineStr">
        <is>
          <t>上次分數</t>
        </is>
      </c>
      <c r="I5" s="10" t="inlineStr">
        <is>
          <t>進步幅度</t>
        </is>
      </c>
      <c r="J5" s="10" t="inlineStr">
        <is>
          <t>進步重點</t>
        </is>
      </c>
      <c r="K5" s="10" t="inlineStr">
        <is>
          <t>待改善</t>
        </is>
      </c>
      <c r="L5" s="10" t="inlineStr">
        <is>
          <t>導師評語</t>
        </is>
      </c>
      <c r="M5" s="10" t="inlineStr">
        <is>
          <t>WhatsApp訊息</t>
        </is>
      </c>
      <c r="N5" s="10" t="inlineStr">
        <is>
          <t>已發送</t>
        </is>
      </c>
    </row>
    <row r="6">
      <c r="A6" s="11" t="inlineStr">
        <is>
          <t>2026-06</t>
        </is>
      </c>
      <c r="B6" s="11" t="inlineStr">
        <is>
          <t>S001</t>
        </is>
      </c>
      <c r="C6" s="24">
        <f>IFERROR(VLOOKUP(B6,學生資料庫!$A$6:$B$200,2,FALSE),"")</f>
        <v/>
      </c>
      <c r="D6" s="24">
        <f>IFERROR(VLOOKUP(B6,學生資料庫!$A$6:$F$200,6,FALSE),"")</f>
        <v/>
      </c>
      <c r="E6" s="11" t="inlineStr">
        <is>
          <t>95%</t>
        </is>
      </c>
      <c r="F6" s="11" t="inlineStr">
        <is>
          <t>90%</t>
        </is>
      </c>
      <c r="G6" s="11" t="n">
        <v>78</v>
      </c>
      <c r="H6" s="11" t="n">
        <v>72</v>
      </c>
      <c r="I6" s="24">
        <f>IF(OR(G6="",H6=""),"—",G6-H6)</f>
        <v/>
      </c>
      <c r="J6" s="11" t="inlineStr">
        <is>
          <t>數學應用題進步</t>
        </is>
      </c>
      <c r="K6" s="11" t="inlineStr">
        <is>
          <t>中文造句</t>
        </is>
      </c>
      <c r="L6" s="11" t="inlineStr">
        <is>
          <t>表現穩定</t>
        </is>
      </c>
      <c r="M6" s="24">
        <f>"【俊才坊學習進度】"&amp;C6&amp;" "&amp;A6&amp;"：出席"&amp;E6&amp;" 功課"&amp;F6&amp;" 測驗"&amp;G6&amp;"分 評語："&amp;L6</f>
        <v/>
      </c>
      <c r="N6" s="11" t="inlineStr">
        <is>
          <t>✓</t>
        </is>
      </c>
    </row>
    <row r="7">
      <c r="A7" s="13" t="inlineStr">
        <is>
          <t>2026-06</t>
        </is>
      </c>
      <c r="B7" s="13" t="inlineStr">
        <is>
          <t>S002</t>
        </is>
      </c>
      <c r="C7" s="25">
        <f>IFERROR(VLOOKUP(B7,學生資料庫!$A$6:$B$200,2,FALSE),"")</f>
        <v/>
      </c>
      <c r="D7" s="25">
        <f>IFERROR(VLOOKUP(B7,學生資料庫!$A$6:$F$200,6,FALSE),"")</f>
        <v/>
      </c>
      <c r="E7" s="13" t="inlineStr">
        <is>
          <t>88%</t>
        </is>
      </c>
      <c r="F7" s="13" t="inlineStr">
        <is>
          <t>85%</t>
        </is>
      </c>
      <c r="G7" s="13" t="n">
        <v>72</v>
      </c>
      <c r="H7" s="13" t="n">
        <v>68</v>
      </c>
      <c r="I7" s="25">
        <f>IF(OR(G7="",H7=""),"—",G7-H7)</f>
        <v/>
      </c>
      <c r="J7" s="13" t="inlineStr">
        <is>
          <t>閱讀理解提升</t>
        </is>
      </c>
      <c r="K7" s="13" t="inlineStr">
        <is>
          <t>寫作結構</t>
        </is>
      </c>
      <c r="L7" s="13" t="inlineStr">
        <is>
          <t>需加強操卷</t>
        </is>
      </c>
      <c r="M7" s="25">
        <f>"【俊才坊學習進度】"&amp;C7&amp;" "&amp;A7&amp;"：出席"&amp;E7&amp;" 功課"&amp;F7&amp;" 測驗"&amp;G7&amp;"分 評語："&amp;L7</f>
        <v/>
      </c>
      <c r="N7" s="13" t="inlineStr">
        <is>
          <t>✓</t>
        </is>
      </c>
    </row>
    <row r="8">
      <c r="A8" s="11" t="inlineStr">
        <is>
          <t>2026-06</t>
        </is>
      </c>
      <c r="B8" s="11" t="inlineStr">
        <is>
          <t>S003</t>
        </is>
      </c>
      <c r="C8" s="24">
        <f>IFERROR(VLOOKUP(B8,學生資料庫!$A$6:$B$200,2,FALSE),"")</f>
        <v/>
      </c>
      <c r="D8" s="24">
        <f>IFERROR(VLOOKUP(B8,學生資料庫!$A$6:$F$200,6,FALSE),"")</f>
        <v/>
      </c>
      <c r="E8" s="11" t="inlineStr">
        <is>
          <t>70%</t>
        </is>
      </c>
      <c r="F8" s="11" t="inlineStr">
        <is>
          <t>60%</t>
        </is>
      </c>
      <c r="G8" s="11" t="n">
        <v>55</v>
      </c>
      <c r="H8" s="11" t="n">
        <v>58</v>
      </c>
      <c r="I8" s="24">
        <f>IF(OR(G8="",H8=""),"—",G8-H8)</f>
        <v/>
      </c>
      <c r="J8" s="11" t="inlineStr">
        <is>
          <t>—</t>
        </is>
      </c>
      <c r="K8" s="11" t="inlineStr">
        <is>
          <t>出席率偏低</t>
        </is>
      </c>
      <c r="L8" s="11" t="inlineStr">
        <is>
          <t>請家長督促</t>
        </is>
      </c>
      <c r="M8" s="24">
        <f>"【俊才坊學習進度】"&amp;C8&amp;" "&amp;A8&amp;"：出席"&amp;E8&amp;" 功課"&amp;F8&amp;" 測驗"&amp;G8&amp;"分 評語："&amp;L8</f>
        <v/>
      </c>
      <c r="N8" s="11" t="inlineStr">
        <is>
          <t>✗</t>
        </is>
      </c>
    </row>
    <row r="9">
      <c r="A9" s="13" t="inlineStr">
        <is>
          <t>2026-06</t>
        </is>
      </c>
      <c r="B9" s="13" t="inlineStr">
        <is>
          <t>S004</t>
        </is>
      </c>
      <c r="C9" s="25">
        <f>IFERROR(VLOOKUP(B9,學生資料庫!$A$6:$B$200,2,FALSE),"")</f>
        <v/>
      </c>
      <c r="D9" s="25">
        <f>IFERROR(VLOOKUP(B9,學生資料庫!$A$6:$F$200,6,FALSE),"")</f>
        <v/>
      </c>
      <c r="E9" s="13" t="inlineStr">
        <is>
          <t>92%</t>
        </is>
      </c>
      <c r="F9" s="13" t="inlineStr">
        <is>
          <t>88%</t>
        </is>
      </c>
      <c r="G9" s="13" t="n">
        <v>82</v>
      </c>
      <c r="H9" s="13" t="n">
        <v>75</v>
      </c>
      <c r="I9" s="25">
        <f>IF(OR(G9="",H9=""),"—",G9-H9)</f>
        <v/>
      </c>
      <c r="J9" s="13" t="inlineStr">
        <is>
          <t>英文進步</t>
        </is>
      </c>
      <c r="K9" s="13" t="inlineStr">
        <is>
          <t>—</t>
        </is>
      </c>
      <c r="L9" s="13" t="inlineStr">
        <is>
          <t>表現良好</t>
        </is>
      </c>
      <c r="M9" s="25">
        <f>"【俊才坊學習進度】"&amp;C9&amp;" "&amp;A9&amp;"：出席"&amp;E9&amp;" 功課"&amp;F9&amp;" 測驗"&amp;G9&amp;"分 評語："&amp;L9</f>
        <v/>
      </c>
      <c r="N9" s="13" t="inlineStr">
        <is>
          <t>✓</t>
        </is>
      </c>
    </row>
    <row r="203">
      <c r="A203" s="15" t="inlineStr">
        <is>
          <t>📊 學習進度 · 總數統計</t>
        </is>
      </c>
      <c r="B203" s="16" t="n"/>
      <c r="C203" s="16" t="n"/>
      <c r="D203" s="16" t="n"/>
    </row>
    <row r="204">
      <c r="A204" s="17" t="inlineStr">
        <is>
          <t>進度報告總數</t>
        </is>
      </c>
      <c r="B204" s="26" t="n"/>
      <c r="C204" s="26" t="n"/>
      <c r="D204" s="26" t="n"/>
      <c r="E204" s="26" t="n"/>
      <c r="F204" s="26" t="n"/>
      <c r="G204" s="26" t="n"/>
      <c r="H204" s="18" t="n"/>
      <c r="I204" s="19">
        <f>COUNTA(B6:B200)</f>
        <v/>
      </c>
    </row>
    <row r="205">
      <c r="A205" s="17" t="inlineStr">
        <is>
          <t>已發送總數</t>
        </is>
      </c>
      <c r="B205" s="26" t="n"/>
      <c r="C205" s="26" t="n"/>
      <c r="D205" s="26" t="n"/>
      <c r="E205" s="26" t="n"/>
      <c r="F205" s="26" t="n"/>
      <c r="G205" s="26" t="n"/>
      <c r="H205" s="18" t="n"/>
      <c r="I205" s="19">
        <f>COUNTIF(N6:N200,"✓")</f>
        <v/>
      </c>
    </row>
    <row r="206">
      <c r="A206" s="17" t="inlineStr">
        <is>
          <t>待發送總數</t>
        </is>
      </c>
      <c r="B206" s="26" t="n"/>
      <c r="C206" s="26" t="n"/>
      <c r="D206" s="26" t="n"/>
      <c r="E206" s="26" t="n"/>
      <c r="F206" s="26" t="n"/>
      <c r="G206" s="26" t="n"/>
      <c r="H206" s="18" t="n"/>
      <c r="I206" s="19">
        <f>COUNTIF(N6:N200,"✗")</f>
        <v/>
      </c>
    </row>
    <row r="207">
      <c r="A207" s="17" t="inlineStr">
        <is>
          <t>進步人數（&gt;0）</t>
        </is>
      </c>
      <c r="B207" s="26" t="n"/>
      <c r="C207" s="26" t="n"/>
      <c r="D207" s="26" t="n"/>
      <c r="E207" s="26" t="n"/>
      <c r="F207" s="26" t="n"/>
      <c r="G207" s="26" t="n"/>
      <c r="H207" s="18" t="n"/>
      <c r="I207" s="19">
        <f>COUNTIF(I6:I200,"&gt;0")</f>
        <v/>
      </c>
    </row>
    <row r="208">
      <c r="A208" s="17" t="inlineStr">
        <is>
          <t>退步人數（&lt;0）</t>
        </is>
      </c>
      <c r="B208" s="26" t="n"/>
      <c r="C208" s="26" t="n"/>
      <c r="D208" s="26" t="n"/>
      <c r="E208" s="26" t="n"/>
      <c r="F208" s="26" t="n"/>
      <c r="G208" s="26" t="n"/>
      <c r="H208" s="18" t="n"/>
      <c r="I208" s="19">
        <f>COUNTIF(I6:I200,"&lt;0")</f>
        <v/>
      </c>
    </row>
    <row r="209">
      <c r="A209" s="17" t="inlineStr">
        <is>
          <t>平均測驗分數</t>
        </is>
      </c>
      <c r="B209" s="26" t="n"/>
      <c r="C209" s="26" t="n"/>
      <c r="D209" s="26" t="n"/>
      <c r="E209" s="26" t="n"/>
      <c r="F209" s="26" t="n"/>
      <c r="G209" s="26" t="n"/>
      <c r="H209" s="18" t="n"/>
      <c r="I209" s="19">
        <f>IFERROR(AVERAGE(G6:G200),0)</f>
        <v/>
      </c>
    </row>
  </sheetData>
  <mergeCells count="9">
    <mergeCell ref="A1:N1"/>
    <mergeCell ref="A206:H206"/>
    <mergeCell ref="A209:H209"/>
    <mergeCell ref="A204:H204"/>
    <mergeCell ref="A2:N2"/>
    <mergeCell ref="A205:H205"/>
    <mergeCell ref="A207:H207"/>
    <mergeCell ref="A208:H208"/>
    <mergeCell ref="A203:D203"/>
  </mergeCells>
  <dataValidations count="1">
    <dataValidation sqref="N6:N200" showDropDown="0" showInputMessage="0" showErrorMessage="0" allowBlank="1" type="list">
      <formula1>"✓,✗"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7" customWidth="1" min="3" max="3"/>
    <col width="8" customWidth="1" min="4" max="4"/>
    <col width="8" customWidth="1" min="5" max="5"/>
    <col width="12" customWidth="1" min="6" max="6"/>
    <col width="16" customWidth="1" min="7" max="7"/>
  </cols>
  <sheetData>
    <row r="1">
      <c r="A1" s="1" t="inlineStr">
        <is>
          <t>俊才坊補習社 · 每日行政檢查表</t>
        </is>
      </c>
    </row>
    <row r="2">
      <c r="A2" s="2" t="inlineStr">
        <is>
          <t>完成率自動計算 · 底部任務總數</t>
        </is>
      </c>
    </row>
    <row r="4">
      <c r="A4" s="7" t="inlineStr">
        <is>
          <t>日期：</t>
        </is>
      </c>
      <c r="B4" s="22" t="inlineStr">
        <is>
          <t>2026-06-11</t>
        </is>
      </c>
      <c r="D4" s="7" t="inlineStr">
        <is>
          <t>完成率：</t>
        </is>
      </c>
      <c r="E4" s="1">
        <f>IFERROR(TEXT(COUNTIF(C6:C25,"✓")/COUNTA(B6:B25),"0%"),"0%")</f>
        <v/>
      </c>
    </row>
    <row r="5" ht="30" customHeight="1">
      <c r="A5" s="10" t="inlineStr">
        <is>
          <t>時段</t>
        </is>
      </c>
      <c r="B5" s="10" t="inlineStr">
        <is>
          <t>任務</t>
        </is>
      </c>
      <c r="C5" s="10" t="inlineStr">
        <is>
          <t>完成?</t>
        </is>
      </c>
      <c r="D5" s="10" t="inlineStr">
        <is>
          <t>用時(分)</t>
        </is>
      </c>
      <c r="E5" s="10" t="inlineStr">
        <is>
          <t>負責人</t>
        </is>
      </c>
      <c r="F5" s="10" t="inlineStr">
        <is>
          <t>相關工作表</t>
        </is>
      </c>
      <c r="G5" s="10" t="inlineStr">
        <is>
          <t>備註</t>
        </is>
      </c>
    </row>
    <row r="6">
      <c r="A6" s="11" t="inlineStr">
        <is>
          <t>🌅 早上</t>
        </is>
      </c>
      <c r="B6" s="11" t="inlineStr">
        <is>
          <t>確認當日課表，WhatsApp 通知所有導師</t>
        </is>
      </c>
      <c r="C6" s="11" t="inlineStr"/>
      <c r="D6" s="11" t="inlineStr"/>
      <c r="E6" s="11" t="inlineStr">
        <is>
          <t>營運者</t>
        </is>
      </c>
      <c r="F6" s="11" t="inlineStr">
        <is>
          <t>排課表</t>
        </is>
      </c>
      <c r="G6" s="11" t="inlineStr"/>
    </row>
    <row r="7">
      <c r="A7" s="13" t="inlineStr">
        <is>
          <t>🌅 早上</t>
        </is>
      </c>
      <c r="B7" s="13" t="inlineStr">
        <is>
          <t>檢查收費記錄，列出欠費名單並標記</t>
        </is>
      </c>
      <c r="C7" s="13" t="inlineStr"/>
      <c r="D7" s="13" t="inlineStr"/>
      <c r="E7" s="13" t="inlineStr">
        <is>
          <t>營運者</t>
        </is>
      </c>
      <c r="F7" s="13" t="inlineStr">
        <is>
          <t>收費記錄</t>
        </is>
      </c>
      <c r="G7" s="13" t="inlineStr"/>
    </row>
    <row r="8">
      <c r="A8" s="11" t="inlineStr">
        <is>
          <t>🌅 早上</t>
        </is>
      </c>
      <c r="B8" s="11" t="inlineStr">
        <is>
          <t>回覆家長 WhatsApp 查詢（30分鐘內）</t>
        </is>
      </c>
      <c r="C8" s="11" t="inlineStr"/>
      <c r="D8" s="11" t="inlineStr"/>
      <c r="E8" s="11" t="inlineStr">
        <is>
          <t>營運者</t>
        </is>
      </c>
      <c r="F8" s="11" t="inlineStr">
        <is>
          <t>家長通訊</t>
        </is>
      </c>
      <c r="G8" s="11" t="inlineStr"/>
    </row>
    <row r="9">
      <c r="A9" s="13" t="inlineStr">
        <is>
          <t>☀️ 下午</t>
        </is>
      </c>
      <c r="B9" s="13" t="inlineStr">
        <is>
          <t>學生到達點名，記錄出席狀態</t>
        </is>
      </c>
      <c r="C9" s="13" t="inlineStr"/>
      <c r="D9" s="13" t="inlineStr"/>
      <c r="E9" s="13" t="inlineStr">
        <is>
          <t>導師/營運者</t>
        </is>
      </c>
      <c r="F9" s="13" t="inlineStr">
        <is>
          <t>出席記錄</t>
        </is>
      </c>
      <c r="G9" s="13" t="inlineStr"/>
    </row>
    <row r="10">
      <c r="A10" s="11" t="inlineStr">
        <is>
          <t>☀️ 下午</t>
        </is>
      </c>
      <c r="B10" s="11" t="inlineStr">
        <is>
          <t>確保課室整潔、教材準備充足</t>
        </is>
      </c>
      <c r="C10" s="11" t="inlineStr"/>
      <c r="D10" s="11" t="inlineStr"/>
      <c r="E10" s="11" t="inlineStr">
        <is>
          <t>導師</t>
        </is>
      </c>
      <c r="F10" s="11" t="inlineStr">
        <is>
          <t>課室使用表</t>
        </is>
      </c>
      <c r="G10" s="11" t="inlineStr"/>
    </row>
    <row r="11">
      <c r="A11" s="13" t="inlineStr">
        <is>
          <t>☀️ 下午</t>
        </is>
      </c>
      <c r="B11" s="13" t="inlineStr">
        <is>
          <t>處理即時家長查詢並記錄</t>
        </is>
      </c>
      <c r="C11" s="13" t="inlineStr"/>
      <c r="D11" s="13" t="inlineStr"/>
      <c r="E11" s="13" t="inlineStr">
        <is>
          <t>營運者</t>
        </is>
      </c>
      <c r="F11" s="13" t="inlineStr">
        <is>
          <t>家長通訊</t>
        </is>
      </c>
      <c r="G11" s="13" t="inlineStr"/>
    </row>
    <row r="12">
      <c r="A12" s="11" t="inlineStr">
        <is>
          <t>🌙 晚上</t>
        </is>
      </c>
      <c r="B12" s="11" t="inlineStr">
        <is>
          <t>更新出席記錄（遲到/缺席/功課）</t>
        </is>
      </c>
      <c r="C12" s="11" t="inlineStr"/>
      <c r="D12" s="11" t="inlineStr"/>
      <c r="E12" s="11" t="inlineStr">
        <is>
          <t>營運者</t>
        </is>
      </c>
      <c r="F12" s="11" t="inlineStr">
        <is>
          <t>出席記錄</t>
        </is>
      </c>
      <c r="G12" s="11" t="inlineStr"/>
    </row>
    <row r="13">
      <c r="A13" s="13" t="inlineStr">
        <is>
          <t>🌙 晚上</t>
        </is>
      </c>
      <c r="B13" s="13" t="inlineStr">
        <is>
          <t>核對當日收款，記入收費記錄</t>
        </is>
      </c>
      <c r="C13" s="13" t="inlineStr"/>
      <c r="D13" s="13" t="inlineStr"/>
      <c r="E13" s="13" t="inlineStr">
        <is>
          <t>營運者</t>
        </is>
      </c>
      <c r="F13" s="13" t="inlineStr">
        <is>
          <t>收費記錄</t>
        </is>
      </c>
      <c r="G13" s="13" t="inlineStr"/>
    </row>
    <row r="14">
      <c r="A14" s="11" t="inlineStr">
        <is>
          <t>🌙 晚上</t>
        </is>
      </c>
      <c r="B14" s="11" t="inlineStr">
        <is>
          <t>規劃翌日課堂，補課提前通知家長</t>
        </is>
      </c>
      <c r="C14" s="11" t="inlineStr"/>
      <c r="D14" s="11" t="inlineStr"/>
      <c r="E14" s="11" t="inlineStr">
        <is>
          <t>營運者</t>
        </is>
      </c>
      <c r="F14" s="11" t="inlineStr">
        <is>
          <t>排課表</t>
        </is>
      </c>
      <c r="G14" s="11" t="inlineStr"/>
    </row>
    <row r="15">
      <c r="A15" s="13" t="inlineStr">
        <is>
          <t>🌙 晚上</t>
        </is>
      </c>
      <c r="B15" s="13" t="inlineStr">
        <is>
          <t>更新學習進度備註（如有測驗）</t>
        </is>
      </c>
      <c r="C15" s="13" t="inlineStr"/>
      <c r="D15" s="13" t="inlineStr"/>
      <c r="E15" s="13" t="inlineStr">
        <is>
          <t>導師</t>
        </is>
      </c>
      <c r="F15" s="13" t="inlineStr">
        <is>
          <t>學習進度</t>
        </is>
      </c>
      <c r="G15" s="13" t="inlineStr"/>
    </row>
    <row r="203">
      <c r="A203" s="15" t="inlineStr">
        <is>
          <t>📊 每日行政 · 總數統計</t>
        </is>
      </c>
      <c r="B203" s="16" t="n"/>
      <c r="C203" s="16" t="n"/>
      <c r="D203" s="16" t="n"/>
    </row>
    <row r="204">
      <c r="A204" s="17" t="inlineStr">
        <is>
          <t>任務總數</t>
        </is>
      </c>
      <c r="B204" s="26" t="n"/>
      <c r="C204" s="18" t="n"/>
      <c r="D204" s="19">
        <f>COUNTA(B6:B15)</f>
        <v/>
      </c>
    </row>
    <row r="205">
      <c r="A205" s="17" t="inlineStr">
        <is>
          <t>已完成總數</t>
        </is>
      </c>
      <c r="B205" s="26" t="n"/>
      <c r="C205" s="18" t="n"/>
      <c r="D205" s="19">
        <f>COUNTIF(C6:C15,"✓")</f>
        <v/>
      </c>
    </row>
    <row r="206">
      <c r="A206" s="17" t="inlineStr">
        <is>
          <t>未完成總數</t>
        </is>
      </c>
      <c r="B206" s="26" t="n"/>
      <c r="C206" s="18" t="n"/>
      <c r="D206" s="19">
        <f>COUNTIF(C6:C15,"✗")</f>
        <v/>
      </c>
    </row>
    <row r="207">
      <c r="A207" s="17" t="inlineStr">
        <is>
          <t>總用時(分鐘)</t>
        </is>
      </c>
      <c r="B207" s="26" t="n"/>
      <c r="C207" s="18" t="n"/>
      <c r="D207" s="19">
        <f>SUM(D6:D15)</f>
        <v/>
      </c>
    </row>
    <row r="208">
      <c r="A208" s="17" t="inlineStr">
        <is>
          <t>完成率</t>
        </is>
      </c>
      <c r="B208" s="26" t="n"/>
      <c r="C208" s="18" t="n"/>
      <c r="D208" s="27">
        <f>IFERROR(COUNTIF(C6:C15,"✓")/COUNTA(B6:B15),0)</f>
        <v/>
      </c>
    </row>
  </sheetData>
  <mergeCells count="8">
    <mergeCell ref="A207:C207"/>
    <mergeCell ref="A208:C208"/>
    <mergeCell ref="A2:H2"/>
    <mergeCell ref="A206:C206"/>
    <mergeCell ref="A1:H1"/>
    <mergeCell ref="A204:C204"/>
    <mergeCell ref="A205:C205"/>
    <mergeCell ref="A203:D203"/>
  </mergeCells>
  <dataValidations count="1">
    <dataValidation sqref="C6:C200" showDropDown="0" showInputMessage="0" showErrorMessage="0" allowBlank="1" type="list">
      <formula1>"✓,✗,—,進行中"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9" customWidth="1" min="3" max="3"/>
    <col width="9" customWidth="1" min="4" max="4"/>
    <col width="10" customWidth="1" min="5" max="5"/>
    <col width="7" customWidth="1" min="6" max="6"/>
    <col width="22" customWidth="1" min="7" max="7"/>
    <col width="9" customWidth="1" min="8" max="8"/>
    <col width="10" customWidth="1" min="9" max="9"/>
    <col width="11" customWidth="1" min="10" max="10"/>
    <col width="6" customWidth="1" min="11" max="11"/>
    <col width="8" customWidth="1" min="12" max="12"/>
    <col width="14" customWidth="1" min="13" max="13"/>
  </cols>
  <sheetData>
    <row r="1">
      <c r="A1" s="1" t="inlineStr">
        <is>
          <t>俊才坊補習社 · 家長通訊記錄</t>
        </is>
      </c>
    </row>
    <row r="2">
      <c r="A2" s="2" t="inlineStr">
        <is>
          <t>優先級 · 逾期提醒 · 底部總數</t>
        </is>
      </c>
    </row>
    <row r="5" ht="30" customHeight="1">
      <c r="A5" s="10" t="inlineStr">
        <is>
          <t>日期</t>
        </is>
      </c>
      <c r="B5" s="10" t="inlineStr">
        <is>
          <t>學號</t>
        </is>
      </c>
      <c r="C5" s="10" t="inlineStr">
        <is>
          <t>家長姓名</t>
        </is>
      </c>
      <c r="D5" s="10" t="inlineStr">
        <is>
          <t>聯絡方式</t>
        </is>
      </c>
      <c r="E5" s="10" t="inlineStr">
        <is>
          <t>類型</t>
        </is>
      </c>
      <c r="F5" s="10" t="inlineStr">
        <is>
          <t>優先級</t>
        </is>
      </c>
      <c r="G5" s="10" t="inlineStr">
        <is>
          <t>內容摘要</t>
        </is>
      </c>
      <c r="H5" s="10" t="inlineStr">
        <is>
          <t>處理狀態</t>
        </is>
      </c>
      <c r="I5" s="10" t="inlineStr">
        <is>
          <t>回覆時限</t>
        </is>
      </c>
      <c r="J5" s="10" t="inlineStr">
        <is>
          <t>跟進日期</t>
        </is>
      </c>
      <c r="K5" s="10" t="inlineStr">
        <is>
          <t>逾期?</t>
        </is>
      </c>
      <c r="L5" s="10" t="inlineStr">
        <is>
          <t>負責人</t>
        </is>
      </c>
      <c r="M5" s="10" t="inlineStr">
        <is>
          <t>備註</t>
        </is>
      </c>
    </row>
    <row r="6">
      <c r="A6" s="11" t="inlineStr">
        <is>
          <t>2026-06-10</t>
        </is>
      </c>
      <c r="B6" s="11" t="inlineStr">
        <is>
          <t>S003</t>
        </is>
      </c>
      <c r="C6" s="24">
        <f>IF(B6="","",IFERROR(VLOOKUP(B6,學生資料庫!$A$6:$L$200,12,FALSE),""))</f>
        <v/>
      </c>
      <c r="D6" s="11" t="inlineStr">
        <is>
          <t>WhatsApp</t>
        </is>
      </c>
      <c r="E6" s="11" t="inlineStr">
        <is>
          <t>欠費提醒</t>
        </is>
      </c>
      <c r="F6" s="11" t="inlineStr">
        <is>
          <t>高</t>
        </is>
      </c>
      <c r="G6" s="11" t="inlineStr">
        <is>
          <t>6月學費未繳</t>
        </is>
      </c>
      <c r="H6" s="11" t="inlineStr">
        <is>
          <t>跟進中</t>
        </is>
      </c>
      <c r="I6" s="11" t="inlineStr">
        <is>
          <t>2026-06-12</t>
        </is>
      </c>
      <c r="J6" s="11" t="inlineStr">
        <is>
          <t>2026-06-15</t>
        </is>
      </c>
      <c r="K6" s="24">
        <f>IF(OR(J6="—",J6=""),"",IF(AND(H6&lt;&gt;"已完成",TODAY()&gt;J6),"⚠️",""))</f>
        <v/>
      </c>
      <c r="L6" s="11" t="inlineStr">
        <is>
          <t>營運者</t>
        </is>
      </c>
      <c r="M6" s="11" t="inlineStr"/>
    </row>
    <row r="7">
      <c r="A7" s="13" t="inlineStr">
        <is>
          <t>2026-06-10</t>
        </is>
      </c>
      <c r="B7" s="13" t="inlineStr">
        <is>
          <t>S001</t>
        </is>
      </c>
      <c r="C7" s="25">
        <f>IF(B7="","",IFERROR(VLOOKUP(B7,學生資料庫!$A$6:$L$200,12,FALSE),""))</f>
        <v/>
      </c>
      <c r="D7" s="13" t="inlineStr">
        <is>
          <t>WhatsApp</t>
        </is>
      </c>
      <c r="E7" s="13" t="inlineStr">
        <is>
          <t>進度查詢</t>
        </is>
      </c>
      <c r="F7" s="13" t="inlineStr">
        <is>
          <t>中</t>
        </is>
      </c>
      <c r="G7" s="13" t="inlineStr">
        <is>
          <t>查詢數學進度</t>
        </is>
      </c>
      <c r="H7" s="13" t="inlineStr">
        <is>
          <t>已完成</t>
        </is>
      </c>
      <c r="I7" s="13" t="inlineStr">
        <is>
          <t>2026-06-10</t>
        </is>
      </c>
      <c r="J7" s="13" t="inlineStr">
        <is>
          <t>—</t>
        </is>
      </c>
      <c r="K7" s="25">
        <f>IF(OR(J7="—",J7=""),"",IF(AND(H7&lt;&gt;"已完成",TODAY()&gt;J7),"⚠️",""))</f>
        <v/>
      </c>
      <c r="L7" s="13" t="inlineStr">
        <is>
          <t>營運者</t>
        </is>
      </c>
      <c r="M7" s="13" t="inlineStr"/>
    </row>
    <row r="8">
      <c r="A8" s="11" t="inlineStr">
        <is>
          <t>2026-06-11</t>
        </is>
      </c>
      <c r="B8" s="11" t="inlineStr">
        <is>
          <t>—</t>
        </is>
      </c>
      <c r="C8" s="24">
        <f>IF(B8="","",IFERROR(VLOOKUP(B8,學生資料庫!$A$6:$L$200,12,FALSE),""))</f>
        <v/>
      </c>
      <c r="D8" s="11" t="inlineStr">
        <is>
          <t>電話</t>
        </is>
      </c>
      <c r="E8" s="11" t="inlineStr">
        <is>
          <t>招生查詢</t>
        </is>
      </c>
      <c r="F8" s="11" t="inlineStr">
        <is>
          <t>高</t>
        </is>
      </c>
      <c r="G8" s="11" t="inlineStr">
        <is>
          <t>查詢暑假班</t>
        </is>
      </c>
      <c r="H8" s="11" t="inlineStr">
        <is>
          <t>跟進中</t>
        </is>
      </c>
      <c r="I8" s="11" t="inlineStr">
        <is>
          <t>2026-06-13</t>
        </is>
      </c>
      <c r="J8" s="11" t="inlineStr">
        <is>
          <t>2026-06-13</t>
        </is>
      </c>
      <c r="K8" s="24">
        <f>IF(OR(J8="—",J8=""),"",IF(AND(H8&lt;&gt;"已完成",TODAY()&gt;J8),"⚠️",""))</f>
        <v/>
      </c>
      <c r="L8" s="11" t="inlineStr">
        <is>
          <t>營運者</t>
        </is>
      </c>
      <c r="M8" s="11" t="inlineStr">
        <is>
          <t>潛在新生</t>
        </is>
      </c>
    </row>
    <row r="9">
      <c r="A9" s="13" t="inlineStr">
        <is>
          <t>2026-06-11</t>
        </is>
      </c>
      <c r="B9" s="13" t="inlineStr">
        <is>
          <t>S005</t>
        </is>
      </c>
      <c r="C9" s="25">
        <f>IF(B9="","",IFERROR(VLOOKUP(B9,學生資料庫!$A$6:$L$200,12,FALSE),""))</f>
        <v/>
      </c>
      <c r="D9" s="13" t="inlineStr">
        <is>
          <t>WhatsApp</t>
        </is>
      </c>
      <c r="E9" s="13" t="inlineStr">
        <is>
          <t>續報查詢</t>
        </is>
      </c>
      <c r="F9" s="13" t="inlineStr">
        <is>
          <t>中</t>
        </is>
      </c>
      <c r="G9" s="13" t="inlineStr">
        <is>
          <t>查詢9月學費</t>
        </is>
      </c>
      <c r="H9" s="13" t="inlineStr">
        <is>
          <t>待處理</t>
        </is>
      </c>
      <c r="I9" s="13" t="inlineStr">
        <is>
          <t>2026-06-12</t>
        </is>
      </c>
      <c r="J9" s="13" t="inlineStr">
        <is>
          <t>2026-06-14</t>
        </is>
      </c>
      <c r="K9" s="25">
        <f>IF(OR(J9="—",J9=""),"",IF(AND(H9&lt;&gt;"已完成",TODAY()&gt;J9),"⚠️",""))</f>
        <v/>
      </c>
      <c r="L9" s="13" t="inlineStr">
        <is>
          <t>營運者</t>
        </is>
      </c>
      <c r="M9" s="13" t="inlineStr"/>
    </row>
    <row r="10">
      <c r="A10" s="11" t="inlineStr">
        <is>
          <t>2026-06-12</t>
        </is>
      </c>
      <c r="B10" s="11" t="inlineStr">
        <is>
          <t>S006</t>
        </is>
      </c>
      <c r="C10" s="24">
        <f>IF(B10="","",IFERROR(VLOOKUP(B10,學生資料庫!$A$6:$L$200,12,FALSE),""))</f>
        <v/>
      </c>
      <c r="D10" s="11" t="inlineStr">
        <is>
          <t>WhatsApp</t>
        </is>
      </c>
      <c r="E10" s="11" t="inlineStr">
        <is>
          <t>進度查詢</t>
        </is>
      </c>
      <c r="F10" s="11" t="inlineStr">
        <is>
          <t>低</t>
        </is>
      </c>
      <c r="G10" s="11" t="inlineStr">
        <is>
          <t>查詢英文進度</t>
        </is>
      </c>
      <c r="H10" s="11" t="inlineStr">
        <is>
          <t>已完成</t>
        </is>
      </c>
      <c r="I10" s="11" t="inlineStr">
        <is>
          <t>2026-06-12</t>
        </is>
      </c>
      <c r="J10" s="11" t="inlineStr">
        <is>
          <t>—</t>
        </is>
      </c>
      <c r="K10" s="24">
        <f>IF(OR(J10="—",J10=""),"",IF(AND(H10&lt;&gt;"已完成",TODAY()&gt;J10),"⚠️",""))</f>
        <v/>
      </c>
      <c r="L10" s="11" t="inlineStr">
        <is>
          <t>營運者</t>
        </is>
      </c>
      <c r="M10" s="11" t="inlineStr"/>
    </row>
    <row r="203">
      <c r="A203" s="15" t="inlineStr">
        <is>
          <t>📊 家長通訊 · 總數統計</t>
        </is>
      </c>
      <c r="B203" s="16" t="n"/>
      <c r="C203" s="16" t="n"/>
      <c r="D203" s="16" t="n"/>
    </row>
    <row r="204">
      <c r="A204" s="17" t="inlineStr">
        <is>
          <t>通訊記錄總數</t>
        </is>
      </c>
      <c r="B204" s="26" t="n"/>
      <c r="C204" s="26" t="n"/>
      <c r="D204" s="26" t="n"/>
      <c r="E204" s="26" t="n"/>
      <c r="F204" s="26" t="n"/>
      <c r="G204" s="18" t="n"/>
      <c r="H204" s="19">
        <f>COUNTA(A6:A200)</f>
        <v/>
      </c>
    </row>
    <row r="205">
      <c r="A205" s="17" t="inlineStr">
        <is>
          <t>已完成總數</t>
        </is>
      </c>
      <c r="B205" s="26" t="n"/>
      <c r="C205" s="26" t="n"/>
      <c r="D205" s="26" t="n"/>
      <c r="E205" s="26" t="n"/>
      <c r="F205" s="26" t="n"/>
      <c r="G205" s="18" t="n"/>
      <c r="H205" s="19">
        <f>COUNTIF(H6:H200,"已完成")</f>
        <v/>
      </c>
    </row>
    <row r="206">
      <c r="A206" s="17" t="inlineStr">
        <is>
          <t>跟進中總數</t>
        </is>
      </c>
      <c r="B206" s="26" t="n"/>
      <c r="C206" s="26" t="n"/>
      <c r="D206" s="26" t="n"/>
      <c r="E206" s="26" t="n"/>
      <c r="F206" s="26" t="n"/>
      <c r="G206" s="18" t="n"/>
      <c r="H206" s="19">
        <f>COUNTIF(H6:H200,"跟進中")</f>
        <v/>
      </c>
    </row>
    <row r="207">
      <c r="A207" s="17" t="inlineStr">
        <is>
          <t>待處理總數</t>
        </is>
      </c>
      <c r="B207" s="26" t="n"/>
      <c r="C207" s="26" t="n"/>
      <c r="D207" s="26" t="n"/>
      <c r="E207" s="26" t="n"/>
      <c r="F207" s="26" t="n"/>
      <c r="G207" s="18" t="n"/>
      <c r="H207" s="19">
        <f>COUNTIF(H6:H200,"待處理")</f>
        <v/>
      </c>
    </row>
    <row r="208">
      <c r="A208" s="17" t="inlineStr">
        <is>
          <t>高優先級總數</t>
        </is>
      </c>
      <c r="B208" s="26" t="n"/>
      <c r="C208" s="26" t="n"/>
      <c r="D208" s="26" t="n"/>
      <c r="E208" s="26" t="n"/>
      <c r="F208" s="26" t="n"/>
      <c r="G208" s="18" t="n"/>
      <c r="H208" s="19">
        <f>COUNTIF(F6:F200,"高")</f>
        <v/>
      </c>
    </row>
    <row r="209">
      <c r="A209" s="17" t="inlineStr">
        <is>
          <t>逾期總數</t>
        </is>
      </c>
      <c r="B209" s="26" t="n"/>
      <c r="C209" s="26" t="n"/>
      <c r="D209" s="26" t="n"/>
      <c r="E209" s="26" t="n"/>
      <c r="F209" s="26" t="n"/>
      <c r="G209" s="18" t="n"/>
      <c r="H209" s="19">
        <f>COUNTIF(K6:K200,"⚠️")</f>
        <v/>
      </c>
    </row>
    <row r="210">
      <c r="A210" s="17" t="inlineStr">
        <is>
          <t>招生查詢總數</t>
        </is>
      </c>
      <c r="B210" s="26" t="n"/>
      <c r="C210" s="26" t="n"/>
      <c r="D210" s="26" t="n"/>
      <c r="E210" s="26" t="n"/>
      <c r="F210" s="26" t="n"/>
      <c r="G210" s="18" t="n"/>
      <c r="H210" s="19">
        <f>COUNTIF(E6:E200,"招生查詢")</f>
        <v/>
      </c>
    </row>
  </sheetData>
  <mergeCells count="10">
    <mergeCell ref="A1:M1"/>
    <mergeCell ref="A206:G206"/>
    <mergeCell ref="A209:G209"/>
    <mergeCell ref="A210:G210"/>
    <mergeCell ref="A205:G205"/>
    <mergeCell ref="A207:G207"/>
    <mergeCell ref="A204:G204"/>
    <mergeCell ref="A2:M2"/>
    <mergeCell ref="A208:G208"/>
    <mergeCell ref="A203:D203"/>
  </mergeCells>
  <conditionalFormatting sqref="F6:F200">
    <cfRule type="expression" priority="1" dxfId="0">
      <formula>$F6="高"</formula>
    </cfRule>
  </conditionalFormatting>
  <dataValidations count="3">
    <dataValidation sqref="E6:E200" showDropDown="0" showInputMessage="0" showErrorMessage="0" allowBlank="1" type="list">
      <formula1>"欠費提醒,進度查詢,招生查詢,續報查詢,投訴,其他"</formula1>
    </dataValidation>
    <dataValidation sqref="F6:F200" showDropDown="0" showInputMessage="0" showErrorMessage="0" allowBlank="1" type="list">
      <formula1>"高,中,低"</formula1>
    </dataValidation>
    <dataValidation sqref="H6:H200" showDropDown="0" showInputMessage="0" showErrorMessage="0" allowBlank="1" type="list">
      <formula1>"已完成,跟進中,待處理"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12" customWidth="1" min="4" max="4"/>
    <col width="18" customWidth="1" min="5" max="5"/>
    <col width="8" customWidth="1" min="6" max="6"/>
    <col width="12" customWidth="1" min="7" max="7"/>
    <col width="10" customWidth="1" min="8" max="8"/>
    <col width="11" customWidth="1" min="9" max="9"/>
    <col width="11" customWidth="1" min="10" max="10"/>
    <col width="9" customWidth="1" min="11" max="11"/>
    <col width="8" customWidth="1" min="12" max="12"/>
    <col width="7" customWidth="1" min="13" max="13"/>
    <col width="16" customWidth="1" min="14" max="14"/>
  </cols>
  <sheetData>
    <row r="1">
      <c r="A1" s="1" t="inlineStr">
        <is>
          <t>俊才坊補習社 · 導師及員工資料</t>
        </is>
      </c>
    </row>
    <row r="2">
      <c r="A2" s="2" t="inlineStr">
        <is>
          <t>學生數 · 合約倒數 · 底部薪酬總數</t>
        </is>
      </c>
    </row>
    <row r="5" ht="30" customHeight="1">
      <c r="A5" s="10" t="inlineStr">
        <is>
          <t>編號</t>
        </is>
      </c>
      <c r="B5" s="10" t="inlineStr">
        <is>
          <t>姓名</t>
        </is>
      </c>
      <c r="C5" s="10" t="inlineStr">
        <is>
          <t>職位</t>
        </is>
      </c>
      <c r="D5" s="10" t="inlineStr">
        <is>
          <t>電話</t>
        </is>
      </c>
      <c r="E5" s="10" t="inlineStr">
        <is>
          <t>負責課程</t>
        </is>
      </c>
      <c r="F5" s="10" t="inlineStr">
        <is>
          <t>負責學生數</t>
        </is>
      </c>
      <c r="G5" s="10" t="inlineStr">
        <is>
          <t>薪酬</t>
        </is>
      </c>
      <c r="H5" s="10" t="inlineStr">
        <is>
          <t>月薪估算</t>
        </is>
      </c>
      <c r="I5" s="10" t="inlineStr">
        <is>
          <t>入職日期</t>
        </is>
      </c>
      <c r="J5" s="10" t="inlineStr">
        <is>
          <t>合約到期</t>
        </is>
      </c>
      <c r="K5" s="10" t="inlineStr">
        <is>
          <t>合約剩餘天數</t>
        </is>
      </c>
      <c r="L5" s="10" t="inlineStr">
        <is>
          <t>通知期</t>
        </is>
      </c>
      <c r="M5" s="10" t="inlineStr">
        <is>
          <t>狀態</t>
        </is>
      </c>
      <c r="N5" s="10" t="inlineStr">
        <is>
          <t>備註</t>
        </is>
      </c>
    </row>
    <row r="6">
      <c r="A6" s="11" t="inlineStr">
        <is>
          <t>T001</t>
        </is>
      </c>
      <c r="B6" s="11" t="inlineStr">
        <is>
          <t>導師A</t>
        </is>
      </c>
      <c r="C6" s="11" t="inlineStr">
        <is>
          <t>全職導師</t>
        </is>
      </c>
      <c r="D6" s="11" t="inlineStr">
        <is>
          <t>9XXX XXXX</t>
        </is>
      </c>
      <c r="E6" s="11" t="inlineStr">
        <is>
          <t>功課輔導、DSE</t>
        </is>
      </c>
      <c r="F6" s="24">
        <f>COUNTIF(學生資料庫!S6:S200,B6)</f>
        <v/>
      </c>
      <c r="G6" s="11" t="inlineStr">
        <is>
          <t>$22,500/月</t>
        </is>
      </c>
      <c r="H6" s="24">
        <f>IF(ISNUMBER(SEARCH("/月",G6)),VALUE(SUBSTITUTE(SUBSTITUTE(G6,"$",""),"/月","")),"")</f>
        <v/>
      </c>
      <c r="I6" s="11" t="inlineStr">
        <is>
          <t>2020-03-01</t>
        </is>
      </c>
      <c r="J6" s="11" t="inlineStr">
        <is>
          <t>2026-12-31</t>
        </is>
      </c>
      <c r="K6" s="24">
        <f>IF(OR(J6="—",J6=""),"",J6-TODAY())</f>
        <v/>
      </c>
      <c r="L6" s="11" t="inlineStr">
        <is>
          <t>2個月</t>
        </is>
      </c>
      <c r="M6" s="11" t="inlineStr">
        <is>
          <t>在職</t>
        </is>
      </c>
      <c r="N6" s="11" t="inlineStr">
        <is>
          <t>核心導師</t>
        </is>
      </c>
    </row>
    <row r="7">
      <c r="A7" s="13" t="inlineStr">
        <is>
          <t>T002</t>
        </is>
      </c>
      <c r="B7" s="13" t="inlineStr">
        <is>
          <t>導師B</t>
        </is>
      </c>
      <c r="C7" s="13" t="inlineStr">
        <is>
          <t>全職導師</t>
        </is>
      </c>
      <c r="D7" s="13" t="inlineStr">
        <is>
          <t>9XXX XXXX</t>
        </is>
      </c>
      <c r="E7" s="13" t="inlineStr">
        <is>
          <t>功課輔導、DSE</t>
        </is>
      </c>
      <c r="F7" s="25">
        <f>COUNTIF(學生資料庫!S6:S200,B7)</f>
        <v/>
      </c>
      <c r="G7" s="13" t="inlineStr">
        <is>
          <t>$22,500/月</t>
        </is>
      </c>
      <c r="H7" s="25">
        <f>IF(ISNUMBER(SEARCH("/月",G7)),VALUE(SUBSTITUTE(SUBSTITUTE(G7,"$",""),"/月","")),"")</f>
        <v/>
      </c>
      <c r="I7" s="13" t="inlineStr">
        <is>
          <t>2019-09-01</t>
        </is>
      </c>
      <c r="J7" s="13" t="inlineStr">
        <is>
          <t>2026-12-31</t>
        </is>
      </c>
      <c r="K7" s="25">
        <f>IF(OR(J7="—",J7=""),"",J7-TODAY())</f>
        <v/>
      </c>
      <c r="L7" s="13" t="inlineStr">
        <is>
          <t>2個月</t>
        </is>
      </c>
      <c r="M7" s="13" t="inlineStr">
        <is>
          <t>在職</t>
        </is>
      </c>
      <c r="N7" s="13" t="inlineStr">
        <is>
          <t>核心導師</t>
        </is>
      </c>
    </row>
    <row r="8">
      <c r="A8" s="11" t="inlineStr">
        <is>
          <t>T003</t>
        </is>
      </c>
      <c r="B8" s="11" t="inlineStr">
        <is>
          <t>兼職C</t>
        </is>
      </c>
      <c r="C8" s="11" t="inlineStr">
        <is>
          <t>兼職導師</t>
        </is>
      </c>
      <c r="D8" s="11" t="inlineStr">
        <is>
          <t>9XXX XXXX</t>
        </is>
      </c>
      <c r="E8" s="11" t="inlineStr">
        <is>
          <t>習慣班</t>
        </is>
      </c>
      <c r="F8" s="24">
        <f>COUNTIF(學生資料庫!S6:S200,B8)</f>
        <v/>
      </c>
      <c r="G8" s="11" t="inlineStr">
        <is>
          <t>$150/時</t>
        </is>
      </c>
      <c r="H8" s="24">
        <f>IF(ISNUMBER(SEARCH("/月",G8)),VALUE(SUBSTITUTE(SUBSTITUTE(G8,"$",""),"/月","")),"")</f>
        <v/>
      </c>
      <c r="I8" s="11" t="inlineStr">
        <is>
          <t>2025-01-01</t>
        </is>
      </c>
      <c r="J8" s="11" t="inlineStr">
        <is>
          <t>—</t>
        </is>
      </c>
      <c r="K8" s="24">
        <f>IF(OR(J8="—",J8=""),"",J8-TODAY())</f>
        <v/>
      </c>
      <c r="L8" s="11" t="inlineStr">
        <is>
          <t>1個月</t>
        </is>
      </c>
      <c r="M8" s="11" t="inlineStr">
        <is>
          <t>在職</t>
        </is>
      </c>
      <c r="N8" s="11" t="inlineStr"/>
    </row>
    <row r="9">
      <c r="A9" s="13" t="inlineStr">
        <is>
          <t>T004</t>
        </is>
      </c>
      <c r="B9" s="13" t="inlineStr">
        <is>
          <t>兼職D</t>
        </is>
      </c>
      <c r="C9" s="13" t="inlineStr">
        <is>
          <t>兼職導師</t>
        </is>
      </c>
      <c r="D9" s="13" t="inlineStr">
        <is>
          <t>9XXX XXXX</t>
        </is>
      </c>
      <c r="E9" s="13" t="inlineStr">
        <is>
          <t>籃球班</t>
        </is>
      </c>
      <c r="F9" s="25">
        <f>COUNTIF(學生資料庫!S6:S200,B9)</f>
        <v/>
      </c>
      <c r="G9" s="13" t="inlineStr">
        <is>
          <t>$200/時</t>
        </is>
      </c>
      <c r="H9" s="25">
        <f>IF(ISNUMBER(SEARCH("/月",G9)),VALUE(SUBSTITUTE(SUBSTITUTE(G9,"$",""),"/月","")),"")</f>
        <v/>
      </c>
      <c r="I9" s="13" t="inlineStr">
        <is>
          <t>2025-06-01</t>
        </is>
      </c>
      <c r="J9" s="13" t="inlineStr">
        <is>
          <t>—</t>
        </is>
      </c>
      <c r="K9" s="25">
        <f>IF(OR(J9="—",J9=""),"",J9-TODAY())</f>
        <v/>
      </c>
      <c r="L9" s="13" t="inlineStr">
        <is>
          <t>1個月</t>
        </is>
      </c>
      <c r="M9" s="13" t="inlineStr">
        <is>
          <t>在職</t>
        </is>
      </c>
      <c r="N9" s="13" t="inlineStr">
        <is>
          <t>外聘教練</t>
        </is>
      </c>
    </row>
    <row r="203">
      <c r="A203" s="15" t="inlineStr">
        <is>
          <t>📊 導師資料 · 總數統計</t>
        </is>
      </c>
      <c r="B203" s="16" t="n"/>
      <c r="C203" s="16" t="n"/>
      <c r="D203" s="16" t="n"/>
    </row>
    <row r="204">
      <c r="A204" s="17" t="inlineStr">
        <is>
          <t>導師記錄總數</t>
        </is>
      </c>
      <c r="B204" s="26" t="n"/>
      <c r="C204" s="26" t="n"/>
      <c r="D204" s="26" t="n"/>
      <c r="E204" s="26" t="n"/>
      <c r="F204" s="26" t="n"/>
      <c r="G204" s="18" t="n"/>
      <c r="H204" s="19">
        <f>COUNTA(A6:A200)</f>
        <v/>
      </c>
    </row>
    <row r="205">
      <c r="A205" s="17" t="inlineStr">
        <is>
          <t>在職導師總數</t>
        </is>
      </c>
      <c r="B205" s="26" t="n"/>
      <c r="C205" s="26" t="n"/>
      <c r="D205" s="26" t="n"/>
      <c r="E205" s="26" t="n"/>
      <c r="F205" s="26" t="n"/>
      <c r="G205" s="18" t="n"/>
      <c r="H205" s="19">
        <f>COUNTIF(M6:M200,"在職")</f>
        <v/>
      </c>
    </row>
    <row r="206">
      <c r="A206" s="17" t="inlineStr">
        <is>
          <t>全職導師總數</t>
        </is>
      </c>
      <c r="B206" s="26" t="n"/>
      <c r="C206" s="26" t="n"/>
      <c r="D206" s="26" t="n"/>
      <c r="E206" s="26" t="n"/>
      <c r="F206" s="26" t="n"/>
      <c r="G206" s="18" t="n"/>
      <c r="H206" s="19">
        <f>COUNTIF(C6:C200,"全職導師")</f>
        <v/>
      </c>
    </row>
    <row r="207">
      <c r="A207" s="17" t="inlineStr">
        <is>
          <t>兼職導師總數</t>
        </is>
      </c>
      <c r="B207" s="26" t="n"/>
      <c r="C207" s="26" t="n"/>
      <c r="D207" s="26" t="n"/>
      <c r="E207" s="26" t="n"/>
      <c r="F207" s="26" t="n"/>
      <c r="G207" s="18" t="n"/>
      <c r="H207" s="19">
        <f>COUNTIF(C6:C200,"兼職導師")</f>
        <v/>
      </c>
    </row>
    <row r="208">
      <c r="A208" s="17" t="inlineStr">
        <is>
          <t>負責學生總數</t>
        </is>
      </c>
      <c r="B208" s="26" t="n"/>
      <c r="C208" s="26" t="n"/>
      <c r="D208" s="26" t="n"/>
      <c r="E208" s="26" t="n"/>
      <c r="F208" s="26" t="n"/>
      <c r="G208" s="18" t="n"/>
      <c r="H208" s="19">
        <f>SUM(F6:F200)</f>
        <v/>
      </c>
    </row>
    <row r="209">
      <c r="A209" s="17" t="inlineStr">
        <is>
          <t>全職月薪總數</t>
        </is>
      </c>
      <c r="B209" s="26" t="n"/>
      <c r="C209" s="26" t="n"/>
      <c r="D209" s="26" t="n"/>
      <c r="E209" s="26" t="n"/>
      <c r="F209" s="26" t="n"/>
      <c r="G209" s="18" t="n"/>
      <c r="H209" s="19">
        <f>SUMIF(C6:C200,"全職導師",H6:H200)</f>
        <v/>
      </c>
    </row>
    <row r="210">
      <c r="A210" s="17" t="inlineStr">
        <is>
          <t>合約60天內到期</t>
        </is>
      </c>
      <c r="B210" s="26" t="n"/>
      <c r="C210" s="26" t="n"/>
      <c r="D210" s="26" t="n"/>
      <c r="E210" s="26" t="n"/>
      <c r="F210" s="26" t="n"/>
      <c r="G210" s="18" t="n"/>
      <c r="H210" s="19">
        <f>COUNTIFS(K6:K200,"&gt;0",K6:K200,"&lt;=60")</f>
        <v/>
      </c>
    </row>
  </sheetData>
  <mergeCells count="10">
    <mergeCell ref="A1:N1"/>
    <mergeCell ref="A2:N2"/>
    <mergeCell ref="A206:G206"/>
    <mergeCell ref="A209:G209"/>
    <mergeCell ref="A210:G210"/>
    <mergeCell ref="A205:G205"/>
    <mergeCell ref="A207:G207"/>
    <mergeCell ref="A204:G204"/>
    <mergeCell ref="A208:G208"/>
    <mergeCell ref="A203:D203"/>
  </mergeCells>
  <dataValidations count="1">
    <dataValidation sqref="M6:M200" showDropDown="0" showInputMessage="0" showErrorMessage="0" allowBlank="1" type="list">
      <formula1>"在職,離職,試用,顧問"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2026-06-11T09:44:19Z</dcterms:created>
  <dcterms:modified xsi:type="dcterms:W3CDTF">2026-06-11T09:44:19Z</dcterms:modified>
</cp:coreProperties>
</file>