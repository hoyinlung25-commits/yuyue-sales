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儀表板" sheetId="1" state="visible" r:id="rId1"/>
    <sheet name="使用說明" sheetId="2" state="visible" r:id="rId2"/>
    <sheet name="學生資料庫" sheetId="3" state="visible" r:id="rId3"/>
    <sheet name="收費記錄" sheetId="4" state="visible" r:id="rId4"/>
    <sheet name="出席記錄" sheetId="5" state="visible" r:id="rId5"/>
    <sheet name="排課表" sheetId="6" state="visible" r:id="rId6"/>
    <sheet name="課室使用表" sheetId="7" state="visible" r:id="rId7"/>
    <sheet name="財務月結" sheetId="8" state="visible" r:id="rId8"/>
    <sheet name="學習進度" sheetId="9" state="visible" r:id="rId9"/>
    <sheet name="每日行政" sheetId="10" state="visible" r:id="rId10"/>
    <sheet name="家長通訊" sheetId="11" state="visible" r:id="rId11"/>
    <sheet name="導師資料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b val="1"/>
      <color rgb="001E3A5F"/>
      <sz val="14"/>
    </font>
    <font>
      <name val="Calibri"/>
      <color rgb="0064748B"/>
      <sz val="10"/>
    </font>
    <font>
      <name val="Calibri"/>
      <color rgb="0064748B"/>
      <sz val="9"/>
    </font>
    <font>
      <name val="Calibri"/>
      <b val="1"/>
      <color rgb="0064748B"/>
      <sz val="9"/>
    </font>
    <font>
      <name val="Calibri"/>
      <b val="1"/>
      <color rgb="001E3A5F"/>
      <sz val="16"/>
    </font>
    <font>
      <name val="Calibri"/>
      <b val="1"/>
      <color rgb="00DC2626"/>
      <sz val="12"/>
    </font>
    <font>
      <name val="Calibri"/>
      <b val="1"/>
      <color rgb="00000000"/>
      <sz val="10"/>
    </font>
    <font>
      <name val="Calibri"/>
      <b val="1"/>
      <color rgb="001E3A5F"/>
      <sz val="12"/>
    </font>
    <font>
      <name val="Calibri"/>
      <b val="1"/>
      <color rgb="001D4ED8"/>
      <sz val="10"/>
    </font>
    <font>
      <name val="Calibri"/>
      <color rgb="00000000"/>
      <sz val="9"/>
    </font>
    <font>
      <name val="Calibri"/>
      <b val="1"/>
      <color rgb="00FFFFFF"/>
      <sz val="10"/>
    </font>
    <font>
      <name val="Calibri"/>
      <b val="1"/>
      <color rgb="001E3A5F"/>
      <sz val="10"/>
    </font>
    <font>
      <name val="Calibri"/>
      <color rgb="00000000"/>
      <sz val="10"/>
    </font>
    <font>
      <name val="Calibri"/>
      <color rgb="001D4ED8"/>
      <sz val="10"/>
    </font>
    <font>
      <name val="Calibri"/>
      <b val="1"/>
      <color rgb="00DC2626"/>
      <sz val="10"/>
    </font>
    <font>
      <name val="Calibri"/>
      <b val="1"/>
      <color rgb="001E3A5F"/>
      <sz val="11"/>
    </font>
    <font>
      <name val="Calibri"/>
      <b val="1"/>
      <color rgb="0016A34A"/>
      <sz val="10"/>
    </font>
  </fonts>
  <fills count="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3" fontId="8" fillId="0" borderId="0" pivotButton="0" quotePrefix="0" xfId="0"/>
    <xf numFmtId="0" fontId="5" fillId="0" borderId="0" pivotButton="0" quotePrefix="0" xfId="0"/>
    <xf numFmtId="0" fontId="11" fillId="2" borderId="0" pivotButton="0" quotePrefix="0" xfId="0"/>
    <xf numFmtId="0" fontId="12" fillId="0" borderId="0" pivotButton="0" quotePrefix="0" xfId="0"/>
    <xf numFmtId="0" fontId="12" fillId="3" borderId="0" pivotButton="0" quotePrefix="0" xfId="0"/>
    <xf numFmtId="0" fontId="10" fillId="3" borderId="0" pivotButton="0" quotePrefix="0" xfId="0"/>
    <xf numFmtId="0" fontId="3" fillId="3" borderId="0" pivotButton="0" quotePrefix="0" xfId="0"/>
    <xf numFmtId="0" fontId="11" fillId="2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center" wrapText="1"/>
    </xf>
    <xf numFmtId="0" fontId="14" fillId="0" borderId="1" applyAlignment="1" pivotButton="0" quotePrefix="0" xfId="0">
      <alignment vertical="center" wrapText="1"/>
    </xf>
    <xf numFmtId="0" fontId="13" fillId="3" borderId="1" applyAlignment="1" pivotButton="0" quotePrefix="0" xfId="0">
      <alignment vertical="center" wrapText="1"/>
    </xf>
    <xf numFmtId="0" fontId="14" fillId="3" borderId="1" applyAlignment="1" pivotButton="0" quotePrefix="0" xfId="0">
      <alignment vertical="center" wrapText="1"/>
    </xf>
    <xf numFmtId="0" fontId="15" fillId="0" borderId="0" pivotButton="0" quotePrefix="0" xfId="0"/>
    <xf numFmtId="3" fontId="12" fillId="0" borderId="0" pivotButton="0" quotePrefix="0" xfId="0"/>
    <xf numFmtId="3" fontId="15" fillId="0" borderId="0" pivotButton="0" quotePrefix="0" xfId="0"/>
    <xf numFmtId="0" fontId="16" fillId="0" borderId="0" pivotButton="0" quotePrefix="0" xfId="0"/>
    <xf numFmtId="3" fontId="7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EE2E2"/>
        </patternFill>
      </fill>
    </dxf>
    <dxf>
      <fill>
        <patternFill patternType="solid">
          <fgColor rgb="00FFEDD5"/>
        </patternFill>
      </fill>
    </dxf>
    <dxf>
      <fill>
        <patternFill patternType="solid">
          <fgColor rgb="00FEF3C7"/>
        </patternFill>
      </fill>
    </dxf>
    <dxf>
      <fill>
        <patternFill patternType="solid">
          <f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Students" displayName="Students" ref="A5:U10" headerRowCount="1">
  <autoFilter ref="A5:U10"/>
  <tableColumns count="21">
    <tableColumn id="1" name="學號"/>
    <tableColumn id="2" name="中文姓名"/>
    <tableColumn id="3" name="英文姓名"/>
    <tableColumn id="4" name="就讀學校"/>
    <tableColumn id="5" name="年級"/>
    <tableColumn id="6" name="報讀課程"/>
    <tableColumn id="7" name="課程類別"/>
    <tableColumn id="8" name="上課日"/>
    <tableColumn id="9" name="月費"/>
    <tableColumn id="10" name="付款狀態"/>
    <tableColumn id="11" name="欠費金額"/>
    <tableColumn id="12" name="家長姓名"/>
    <tableColumn id="13" name="家長電話"/>
    <tableColumn id="14" name="WhatsApp"/>
    <tableColumn id="15" name="入學日期"/>
    <tableColumn id="16" name="合約到期"/>
    <tableColumn id="17" name="合約剩餘天數"/>
    <tableColumn id="18" name="學生狀態"/>
    <tableColumn id="19" name="導師"/>
    <tableColumn id="20" name="轉介來源"/>
    <tableColumn id="21" name="備註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ees" displayName="Fees" ref="A5:O9" headerRowCount="1">
  <autoFilter ref="A5:O9"/>
  <tableColumns count="15">
    <tableColumn id="1" name="日期"/>
    <tableColumn id="2" name="收據編號"/>
    <tableColumn id="3" name="學號"/>
    <tableColumn id="4" name="學生姓名"/>
    <tableColumn id="5" name="月份"/>
    <tableColumn id="6" name="課程"/>
    <tableColumn id="7" name="應繳金額"/>
    <tableColumn id="8" name="實收金額"/>
    <tableColumn id="9" name="差額"/>
    <tableColumn id="10" name="收款狀態"/>
    <tableColumn id="11" name="付款方式"/>
    <tableColumn id="12" name="轉帳參考號"/>
    <tableColumn id="13" name="經手人"/>
    <tableColumn id="14" name="已開收據"/>
    <tableColumn id="15" name="備註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ttendance" displayName="Attendance" ref="A5:N9" headerRowCount="1">
  <autoFilter ref="A5:N9"/>
  <tableColumns count="14">
    <tableColumn id="1" name="日期"/>
    <tableColumn id="2" name="學號"/>
    <tableColumn id="3" name="學生姓名"/>
    <tableColumn id="4" name="課程"/>
    <tableColumn id="5" name="應到時間"/>
    <tableColumn id="6" name="實到時間"/>
    <tableColumn id="7" name="遲到(分鐘)"/>
    <tableColumn id="8" name="出席狀態"/>
    <tableColumn id="9" name="離開時間"/>
    <tableColumn id="10" name="功課完成"/>
    <tableColumn id="11" name="導師"/>
    <tableColumn id="12" name="家長已通知"/>
    <tableColumn id="13" name="補課安排"/>
    <tableColumn id="14" name="備註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chedule" displayName="Schedule" ref="A5:O15" headerRowCount="1">
  <autoFilter ref="A5:O15"/>
  <tableColumns count="15">
    <tableColumn id="1" name="星期"/>
    <tableColumn id="2" name="時段"/>
    <tableColumn id="3" name="課程名稱"/>
    <tableColumn id="4" name="課程類別"/>
    <tableColumn id="5" name="導師"/>
    <tableColumn id="6" name="課室"/>
    <tableColumn id="7" name="對象"/>
    <tableColumn id="8" name="班額"/>
    <tableColumn id="9" name="已報"/>
    <tableColumn id="10" name="候補"/>
    <tableColumn id="11" name="滿班率"/>
    <tableColumn id="12" name="月費參考"/>
    <tableColumn id="13" name="預估月營收"/>
    <tableColumn id="14" name="狀態"/>
    <tableColumn id="15" name="備註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inance" displayName="Finance" ref="A5:P9" headerRowCount="1">
  <autoFilter ref="A5:P9"/>
  <tableColumns count="16">
    <tableColumn id="1" name="月份"/>
    <tableColumn id="2" name="學生數"/>
    <tableColumn id="3" name="ARPU"/>
    <tableColumn id="4" name="月營收"/>
    <tableColumn id="5" name="租金"/>
    <tableColumn id="6" name="全職導師"/>
    <tableColumn id="7" name="兼職導師"/>
    <tableColumn id="8" name="水電"/>
    <tableColumn id="9" name="雜費"/>
    <tableColumn id="10" name="推廣"/>
    <tableColumn id="11" name="其他"/>
    <tableColumn id="12" name="總成本"/>
    <tableColumn id="13" name="月淨利"/>
    <tableColumn id="14" name="淨利率"/>
    <tableColumn id="15" name="目標達成率"/>
    <tableColumn id="16" name="備註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rogress" displayName="Progress" ref="A5:N8" headerRowCount="1">
  <autoFilter ref="A5:N8"/>
  <tableColumns count="14">
    <tableColumn id="1" name="月份"/>
    <tableColumn id="2" name="學號"/>
    <tableColumn id="3" name="學生姓名"/>
    <tableColumn id="4" name="課程"/>
    <tableColumn id="5" name="出席率"/>
    <tableColumn id="6" name="功課完成率"/>
    <tableColumn id="7" name="測驗分數"/>
    <tableColumn id="8" name="上次分數"/>
    <tableColumn id="9" name="進步幅度"/>
    <tableColumn id="10" name="進步重點"/>
    <tableColumn id="11" name="待改善"/>
    <tableColumn id="12" name="導師評語"/>
    <tableColumn id="13" name="WhatsApp訊息"/>
    <tableColumn id="14" name="已發送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Parents" displayName="Parents" ref="A5:M9" headerRowCount="1">
  <autoFilter ref="A5:M9"/>
  <tableColumns count="13">
    <tableColumn id="1" name="日期"/>
    <tableColumn id="2" name="學號"/>
    <tableColumn id="3" name="家長姓名"/>
    <tableColumn id="4" name="聯絡方式"/>
    <tableColumn id="5" name="類型"/>
    <tableColumn id="6" name="優先級"/>
    <tableColumn id="7" name="內容摘要"/>
    <tableColumn id="8" name="處理狀態"/>
    <tableColumn id="9" name="回覆時限"/>
    <tableColumn id="10" name="跟進日期"/>
    <tableColumn id="11" name="逾期?"/>
    <tableColumn id="12" name="負責人"/>
    <tableColumn id="13" name="備註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utors" displayName="Tutors" ref="A5:N9" headerRowCount="1">
  <autoFilter ref="A5:N9"/>
  <tableColumns count="14">
    <tableColumn id="1" name="編號"/>
    <tableColumn id="2" name="姓名"/>
    <tableColumn id="3" name="職位"/>
    <tableColumn id="4" name="電話"/>
    <tableColumn id="5" name="負責課程"/>
    <tableColumn id="6" name="負責學生數"/>
    <tableColumn id="7" name="薪酬"/>
    <tableColumn id="8" name="月薪估算"/>
    <tableColumn id="9" name="入職日期"/>
    <tableColumn id="10" name="合約到期"/>
    <tableColumn id="11" name="合約剩餘天數"/>
    <tableColumn id="12" name="通知期"/>
    <tableColumn id="13" name="狀態"/>
    <tableColumn id="14" name="備註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俊才坊補習社 · 營運儀表板</t>
        </is>
      </c>
    </row>
    <row r="2">
      <c r="A2" s="2" t="inlineStr">
        <is>
          <t>即時 KPI · 自動連動各工作表</t>
        </is>
      </c>
    </row>
    <row r="4">
      <c r="A4" s="3" t="inlineStr">
        <is>
          <t>更新日期：2026-06-11</t>
        </is>
      </c>
    </row>
    <row r="6">
      <c r="A6" s="4" t="inlineStr">
        <is>
          <t>在讀學生</t>
        </is>
      </c>
      <c r="C6" s="4" t="inlineStr">
        <is>
          <t>欠費學生</t>
        </is>
      </c>
      <c r="E6" s="4" t="inlineStr">
        <is>
          <t>本月實收</t>
        </is>
      </c>
      <c r="G6" s="4" t="inlineStr">
        <is>
          <t>本月應收</t>
        </is>
      </c>
      <c r="I6" s="4" t="inlineStr">
        <is>
          <t>待跟進通訊</t>
        </is>
      </c>
      <c r="K6" s="4" t="inlineStr">
        <is>
          <t>今日課堂</t>
        </is>
      </c>
    </row>
    <row r="7">
      <c r="A7" s="5">
        <f>COUNTA(學生資料庫!A6:A200)-COUNTIF(學生資料庫!P6:P200,"畢業")-COUNTIF(學生資料庫!P6:P200,"退學")</f>
        <v/>
      </c>
      <c r="C7" s="5">
        <f>COUNTIF(學生資料庫!I6:I200,"欠費")</f>
        <v/>
      </c>
      <c r="E7" s="5">
        <f>SUMIF(收費記錄!E6:E200,TEXT(TODAY(),"YYYY-MM"),收費記錄!H6:H200)</f>
        <v/>
      </c>
      <c r="G7" s="5">
        <f>SUMIF(收費記錄!E6:E200,TEXT(TODAY(),"YYYY-MM"),收費記錄!G6:G200)</f>
        <v/>
      </c>
      <c r="I7" s="5">
        <f>COUNTIF(家長通訊!H6:H200,"跟進中")+COUNTIF(家長通訊!H6:H200,"待處理")</f>
        <v/>
      </c>
      <c r="K7" s="5">
        <f>COUNTIF(排課表!A6:A200,TEXT(TODAY(),"AAAA"))</f>
        <v/>
      </c>
    </row>
    <row r="10">
      <c r="A10" s="6" t="inlineStr">
        <is>
          <t>⚠️ 待處理提醒</t>
        </is>
      </c>
    </row>
    <row r="11">
      <c r="A11" s="7" t="inlineStr">
        <is>
          <t>欠費學生名單</t>
        </is>
      </c>
      <c r="B11" s="3" t="inlineStr">
        <is>
          <t>請查看「學生資料庫」付款狀態 = 欠費</t>
        </is>
      </c>
    </row>
    <row r="12">
      <c r="A12" s="7" t="inlineStr">
        <is>
          <t>合約 30 天內到期</t>
        </is>
      </c>
      <c r="B12" s="3" t="inlineStr">
        <is>
          <t>請查看「學生資料庫」合約到期欄 ≤ 30 天</t>
        </is>
      </c>
    </row>
    <row r="13">
      <c r="A13" s="7" t="inlineStr">
        <is>
          <t>今日行政未完成</t>
        </is>
      </c>
      <c r="B13" s="3" t="inlineStr">
        <is>
          <t>請查看「每日行政」完成? 欄</t>
        </is>
      </c>
    </row>
    <row r="14">
      <c r="A14" s="7" t="inlineStr">
        <is>
          <t>待發送進度報告</t>
        </is>
      </c>
      <c r="B14" s="3" t="inlineStr">
        <is>
          <t>請查看「學習進度」已發送 = ✗</t>
        </is>
      </c>
    </row>
    <row r="15">
      <c r="A15" s="7" t="inlineStr">
        <is>
          <t>導師合約即將到期</t>
        </is>
      </c>
      <c r="B15" s="3" t="inlineStr">
        <is>
          <t>請查看「導師資料」合約到期欄</t>
        </is>
      </c>
    </row>
    <row r="17">
      <c r="A17" s="8" t="inlineStr">
        <is>
          <t>快速導航</t>
        </is>
      </c>
    </row>
    <row r="18">
      <c r="A18" s="9" t="inlineStr">
        <is>
          <t>→ 學生資料庫</t>
        </is>
      </c>
      <c r="B18" s="10" t="inlineStr">
        <is>
          <t>管理學生及家長資料</t>
        </is>
      </c>
    </row>
    <row r="19">
      <c r="A19" s="9" t="inlineStr">
        <is>
          <t>→ 收費記錄</t>
        </is>
      </c>
      <c r="B19" s="10" t="inlineStr">
        <is>
          <t>FPS/PayMe 收款</t>
        </is>
      </c>
    </row>
    <row r="20">
      <c r="A20" s="9" t="inlineStr">
        <is>
          <t>→ 出席記錄</t>
        </is>
      </c>
      <c r="B20" s="10" t="inlineStr">
        <is>
          <t>每日點名</t>
        </is>
      </c>
    </row>
    <row r="21">
      <c r="A21" s="9" t="inlineStr">
        <is>
          <t>→ 排課表</t>
        </is>
      </c>
      <c r="B21" s="10" t="inlineStr">
        <is>
          <t>每週課程</t>
        </is>
      </c>
    </row>
    <row r="22">
      <c r="A22" s="9" t="inlineStr">
        <is>
          <t>→ 財務月結</t>
        </is>
      </c>
      <c r="B22" s="10" t="inlineStr">
        <is>
          <t>月度 P&amp;L</t>
        </is>
      </c>
    </row>
    <row r="23">
      <c r="A23" s="9" t="inlineStr">
        <is>
          <t>→ 每日行政</t>
        </is>
      </c>
      <c r="B23" s="10" t="inlineStr">
        <is>
          <t>今日待辦清單</t>
        </is>
      </c>
    </row>
    <row r="25">
      <c r="A25" s="8" t="inlineStr">
        <is>
          <t>本月財務目標</t>
        </is>
      </c>
    </row>
    <row r="26">
      <c r="A26" s="7" t="inlineStr">
        <is>
          <t>目標月營收</t>
        </is>
      </c>
      <c r="B26" s="11" t="n">
        <v>192000</v>
      </c>
      <c r="C26" s="3" t="inlineStr">
        <is>
          <t>升級目標情景</t>
        </is>
      </c>
    </row>
    <row r="27">
      <c r="A27" s="7" t="inlineStr">
        <is>
          <t>目標月成本</t>
        </is>
      </c>
      <c r="B27" s="11" t="n">
        <v>110000</v>
      </c>
      <c r="C27" s="3" t="inlineStr">
        <is>
          <t>租金談判後</t>
        </is>
      </c>
    </row>
    <row r="28">
      <c r="A28" s="7" t="inlineStr">
        <is>
          <t>目標月淨利</t>
        </is>
      </c>
      <c r="B28" s="11" t="n">
        <v>82000</v>
      </c>
      <c r="C28" s="3" t="inlineStr">
        <is>
          <t>60人 × $3,200 ARPU</t>
        </is>
      </c>
    </row>
    <row r="29">
      <c r="A29" s="7" t="inlineStr">
        <is>
          <t>目標學生數</t>
        </is>
      </c>
      <c r="B29" s="11" t="n">
        <v>60</v>
      </c>
      <c r="C29" s="3" t="inlineStr"/>
    </row>
  </sheetData>
  <mergeCells count="20">
    <mergeCell ref="C6:D6"/>
    <mergeCell ref="I6:J6"/>
    <mergeCell ref="B15:H15"/>
    <mergeCell ref="A6:B6"/>
    <mergeCell ref="A2:L2"/>
    <mergeCell ref="A7:B7"/>
    <mergeCell ref="G7:H7"/>
    <mergeCell ref="I7:J7"/>
    <mergeCell ref="G6:H6"/>
    <mergeCell ref="A4:L4"/>
    <mergeCell ref="E6:F6"/>
    <mergeCell ref="B12:H12"/>
    <mergeCell ref="B11:H11"/>
    <mergeCell ref="B14:H14"/>
    <mergeCell ref="K7:L7"/>
    <mergeCell ref="C7:D7"/>
    <mergeCell ref="B13:H13"/>
    <mergeCell ref="E7:F7"/>
    <mergeCell ref="A1:L1"/>
    <mergeCell ref="K6:L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50" customWidth="1" min="3" max="3"/>
  </cols>
  <sheetData>
    <row r="1">
      <c r="A1" s="12" t="inlineStr">
        <is>
          <t>俊才坊行政系統</t>
        </is>
      </c>
    </row>
    <row r="2">
      <c r="A2" s="2" t="inlineStr">
        <is>
          <t>Upgrade Edition v2.0 · 2026</t>
        </is>
      </c>
    </row>
    <row r="4">
      <c r="A4" s="13" t="inlineStr">
        <is>
          <t>工作表</t>
        </is>
      </c>
      <c r="B4" s="13" t="inlineStr">
        <is>
          <t>升級功能</t>
        </is>
      </c>
      <c r="C4" s="13" t="inlineStr">
        <is>
          <t>使用說明</t>
        </is>
      </c>
    </row>
    <row r="5">
      <c r="A5" s="14" t="inlineStr">
        <is>
          <t>儀表板</t>
        </is>
      </c>
      <c r="B5" s="10" t="inlineStr">
        <is>
          <t>即時 KPI、待處理提醒、財務目標</t>
        </is>
      </c>
      <c r="C5" s="3" t="inlineStr">
        <is>
          <t>每日開啟第一頁，掌握中心狀態</t>
        </is>
      </c>
    </row>
    <row r="6">
      <c r="A6" s="15" t="inlineStr">
        <is>
          <t>學生資料庫</t>
        </is>
      </c>
      <c r="B6" s="16" t="inlineStr">
        <is>
          <t>合約倒數、ARPU統計、欠費標紅、轉介來源</t>
        </is>
      </c>
      <c r="C6" s="17" t="inlineStr">
        <is>
          <t>★ 接手首週必完成</t>
        </is>
      </c>
    </row>
    <row r="7">
      <c r="A7" s="14" t="inlineStr">
        <is>
          <t>收費記錄</t>
        </is>
      </c>
      <c r="B7" s="10" t="inlineStr">
        <is>
          <t>自動收據編號、VLOOKUP姓名、差額/狀態自動計算</t>
        </is>
      </c>
      <c r="C7" s="3" t="inlineStr">
        <is>
          <t>每次收款即時記錄</t>
        </is>
      </c>
    </row>
    <row r="8">
      <c r="A8" s="15" t="inlineStr">
        <is>
          <t>出席記錄</t>
        </is>
      </c>
      <c r="B8" s="16" t="inlineStr">
        <is>
          <t>遲到分鐘、月出席率統計、補課安排</t>
        </is>
      </c>
      <c r="C8" s="17" t="inlineStr">
        <is>
          <t>每日放學後更新</t>
        </is>
      </c>
    </row>
    <row r="9">
      <c r="A9" s="14" t="inlineStr">
        <is>
          <t>排課表</t>
        </is>
      </c>
      <c r="B9" s="10" t="inlineStr">
        <is>
          <t>滿班率、預估月營收、候補人數</t>
        </is>
      </c>
      <c r="C9" s="3" t="inlineStr">
        <is>
          <t>每學期更新</t>
        </is>
      </c>
    </row>
    <row r="10">
      <c r="A10" s="15" t="inlineStr">
        <is>
          <t>課室使用表</t>
        </is>
      </c>
      <c r="B10" s="16" t="inlineStr">
        <is>
          <t>空閒時段標綠、每呎產值估算</t>
        </is>
      </c>
      <c r="C10" s="17" t="inlineStr">
        <is>
          <t>週末規劃VIP用</t>
        </is>
      </c>
    </row>
    <row r="11">
      <c r="A11" s="14" t="inlineStr">
        <is>
          <t>財務月結</t>
        </is>
      </c>
      <c r="B11" s="10" t="inlineStr">
        <is>
          <t>自動總成本/淨利/達成率、年度累計</t>
        </is>
      </c>
      <c r="C11" s="3" t="inlineStr">
        <is>
          <t>每月底結算</t>
        </is>
      </c>
    </row>
    <row r="12">
      <c r="A12" s="15" t="inlineStr">
        <is>
          <t>學習進度</t>
        </is>
      </c>
      <c r="B12" s="16" t="inlineStr">
        <is>
          <t>自動生成WhatsApp訊息、進步幅度</t>
        </is>
      </c>
      <c r="C12" s="17" t="inlineStr">
        <is>
          <t>每月25-28日發送</t>
        </is>
      </c>
    </row>
    <row r="13">
      <c r="A13" s="14" t="inlineStr">
        <is>
          <t>每日行政</t>
        </is>
      </c>
      <c r="B13" s="10" t="inlineStr">
        <is>
          <t>完成率自動計算、關聯工作表</t>
        </is>
      </c>
      <c r="C13" s="3" t="inlineStr">
        <is>
          <t>每日按時段執行</t>
        </is>
      </c>
    </row>
    <row r="14">
      <c r="A14" s="15" t="inlineStr">
        <is>
          <t>家長通訊</t>
        </is>
      </c>
      <c r="B14" s="16" t="inlineStr">
        <is>
          <t>優先級標色、逾期提醒</t>
        </is>
      </c>
      <c r="C14" s="17" t="inlineStr">
        <is>
          <t>每次通訊後記錄</t>
        </is>
      </c>
    </row>
    <row r="15">
      <c r="A15" s="14" t="inlineStr">
        <is>
          <t>導師資料</t>
        </is>
      </c>
      <c r="B15" s="10" t="inlineStr">
        <is>
          <t>負責學生數、合約倒數、月薪合計</t>
        </is>
      </c>
      <c r="C15" s="3" t="inlineStr">
        <is>
          <t>接手時核查合約</t>
        </is>
      </c>
    </row>
    <row r="18">
      <c r="A18" s="8" t="inlineStr">
        <is>
          <t>實施順序</t>
        </is>
      </c>
    </row>
    <row r="19">
      <c r="A19" s="7" t="inlineStr">
        <is>
          <t>Day 1</t>
        </is>
      </c>
      <c r="B19" s="10" t="inlineStr">
        <is>
          <t>開啟儀表板 → 填入學生資料庫 → 設置 WhatsApp Business</t>
        </is>
      </c>
    </row>
    <row r="20">
      <c r="A20" s="7" t="inlineStr">
        <is>
          <t>Week 1</t>
        </is>
      </c>
      <c r="B20" s="10" t="inlineStr">
        <is>
          <t>收費記錄 + 導師資料 + 每日行政</t>
        </is>
      </c>
    </row>
    <row r="21">
      <c r="A21" s="7" t="inlineStr">
        <is>
          <t>Week 2</t>
        </is>
      </c>
      <c r="B21" s="10" t="inlineStr">
        <is>
          <t>排課表 + 出席記錄 + 課室使用表</t>
        </is>
      </c>
    </row>
    <row r="22">
      <c r="A22" s="7" t="inlineStr">
        <is>
          <t>Week 3</t>
        </is>
      </c>
      <c r="B22" s="10" t="inlineStr">
        <is>
          <t>上傳 Google Sheets + 安裝 Apps Script</t>
        </is>
      </c>
    </row>
    <row r="23">
      <c r="A23" s="7" t="inlineStr">
        <is>
          <t>Monthly</t>
        </is>
      </c>
      <c r="B23" s="10" t="inlineStr">
        <is>
          <t>學習進度報告 + 財務月結</t>
        </is>
      </c>
    </row>
  </sheetData>
  <mergeCells count="5">
    <mergeCell ref="B21:C21"/>
    <mergeCell ref="B19:C19"/>
    <mergeCell ref="B20:C20"/>
    <mergeCell ref="B23:C23"/>
    <mergeCell ref="B22:C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13" customWidth="1" min="4" max="4"/>
    <col width="5" customWidth="1" min="5" max="5"/>
    <col width="16" customWidth="1" min="6" max="6"/>
    <col width="8" customWidth="1" min="7" max="7"/>
    <col width="8" customWidth="1" min="8" max="8"/>
    <col width="8" customWidth="1" min="9" max="9"/>
    <col width="9" customWidth="1" min="10" max="10"/>
    <col width="9" customWidth="1" min="11" max="11"/>
    <col width="9" customWidth="1" min="12" max="12"/>
    <col width="12" customWidth="1" min="13" max="13"/>
    <col width="6" customWidth="1" min="14" max="14"/>
    <col width="11" customWidth="1" min="15" max="15"/>
    <col width="11" customWidth="1" min="16" max="16"/>
    <col width="9" customWidth="1" min="17" max="17"/>
    <col width="8" customWidth="1" min="18" max="18"/>
    <col width="8" customWidth="1" min="19" max="19"/>
    <col width="10" customWidth="1" min="20" max="20"/>
    <col width="16" customWidth="1" min="21" max="21"/>
  </cols>
  <sheetData>
    <row r="1">
      <c r="A1" s="1" t="inlineStr">
        <is>
          <t>俊才坊補習社 · 學生資料庫</t>
        </is>
      </c>
    </row>
    <row r="2">
      <c r="A2" s="2" t="inlineStr">
        <is>
          <t>★ 接手首週必完成 · 含自動計算欄位</t>
        </is>
      </c>
    </row>
    <row r="5" ht="30" customHeight="1">
      <c r="A5" s="18" t="inlineStr">
        <is>
          <t>學號</t>
        </is>
      </c>
      <c r="B5" s="18" t="inlineStr">
        <is>
          <t>中文姓名</t>
        </is>
      </c>
      <c r="C5" s="18" t="inlineStr">
        <is>
          <t>英文姓名</t>
        </is>
      </c>
      <c r="D5" s="18" t="inlineStr">
        <is>
          <t>就讀學校</t>
        </is>
      </c>
      <c r="E5" s="18" t="inlineStr">
        <is>
          <t>年級</t>
        </is>
      </c>
      <c r="F5" s="18" t="inlineStr">
        <is>
          <t>報讀課程</t>
        </is>
      </c>
      <c r="G5" s="18" t="inlineStr">
        <is>
          <t>課程類別</t>
        </is>
      </c>
      <c r="H5" s="18" t="inlineStr">
        <is>
          <t>上課日</t>
        </is>
      </c>
      <c r="I5" s="18" t="inlineStr">
        <is>
          <t>月費</t>
        </is>
      </c>
      <c r="J5" s="18" t="inlineStr">
        <is>
          <t>付款狀態</t>
        </is>
      </c>
      <c r="K5" s="18" t="inlineStr">
        <is>
          <t>欠費金額</t>
        </is>
      </c>
      <c r="L5" s="18" t="inlineStr">
        <is>
          <t>家長姓名</t>
        </is>
      </c>
      <c r="M5" s="18" t="inlineStr">
        <is>
          <t>家長電話</t>
        </is>
      </c>
      <c r="N5" s="18" t="inlineStr">
        <is>
          <t>WhatsApp</t>
        </is>
      </c>
      <c r="O5" s="18" t="inlineStr">
        <is>
          <t>入學日期</t>
        </is>
      </c>
      <c r="P5" s="18" t="inlineStr">
        <is>
          <t>合約到期</t>
        </is>
      </c>
      <c r="Q5" s="18" t="inlineStr">
        <is>
          <t>合約剩餘天數</t>
        </is>
      </c>
      <c r="R5" s="18" t="inlineStr">
        <is>
          <t>學生狀態</t>
        </is>
      </c>
      <c r="S5" s="18" t="inlineStr">
        <is>
          <t>導師</t>
        </is>
      </c>
      <c r="T5" s="18" t="inlineStr">
        <is>
          <t>轉介來源</t>
        </is>
      </c>
      <c r="U5" s="18" t="inlineStr">
        <is>
          <t>備註</t>
        </is>
      </c>
    </row>
    <row r="6">
      <c r="A6" s="19" t="inlineStr">
        <is>
          <t>S001</t>
        </is>
      </c>
      <c r="B6" s="19" t="inlineStr">
        <is>
          <t>陳小明</t>
        </is>
      </c>
      <c r="C6" s="19" t="inlineStr">
        <is>
          <t>Chan Siu Ming</t>
        </is>
      </c>
      <c r="D6" s="19" t="inlineStr">
        <is>
          <t>九龍塘官小</t>
        </is>
      </c>
      <c r="E6" s="19" t="inlineStr">
        <is>
          <t>P5</t>
        </is>
      </c>
      <c r="F6" s="19" t="inlineStr">
        <is>
          <t>小學功課輔導（每日）</t>
        </is>
      </c>
      <c r="G6" s="19" t="inlineStr">
        <is>
          <t>功課輔導</t>
        </is>
      </c>
      <c r="H6" s="19" t="inlineStr">
        <is>
          <t>一至五</t>
        </is>
      </c>
      <c r="I6" s="19" t="n">
        <v>1980</v>
      </c>
      <c r="J6" s="19" t="inlineStr">
        <is>
          <t>已付</t>
        </is>
      </c>
      <c r="K6" s="19" t="n">
        <v>0</v>
      </c>
      <c r="L6" s="19" t="inlineStr">
        <is>
          <t>陳太</t>
        </is>
      </c>
      <c r="M6" s="19" t="inlineStr">
        <is>
          <t>9123 4567</t>
        </is>
      </c>
      <c r="N6" s="19" t="inlineStr">
        <is>
          <t>✓</t>
        </is>
      </c>
      <c r="O6" s="19" t="inlineStr">
        <is>
          <t>2024-09-01</t>
        </is>
      </c>
      <c r="P6" s="19" t="inlineStr">
        <is>
          <t>2026-08-31</t>
        </is>
      </c>
      <c r="Q6" s="20">
        <f>IF(P6="","",P6-TODAY())</f>
        <v/>
      </c>
      <c r="R6" s="19" t="inlineStr">
        <is>
          <t>在讀</t>
        </is>
      </c>
      <c r="S6" s="19" t="inlineStr">
        <is>
          <t>導師A</t>
        </is>
      </c>
      <c r="T6" s="19" t="inlineStr">
        <is>
          <t>舊生</t>
        </is>
      </c>
      <c r="U6" s="19" t="inlineStr"/>
    </row>
    <row r="7">
      <c r="A7" s="21" t="inlineStr">
        <is>
          <t>S002</t>
        </is>
      </c>
      <c r="B7" s="21" t="inlineStr">
        <is>
          <t>李美儀</t>
        </is>
      </c>
      <c r="C7" s="21" t="inlineStr">
        <is>
          <t>Lee Mei Yee</t>
        </is>
      </c>
      <c r="D7" s="21" t="inlineStr">
        <is>
          <t>喇沙書院</t>
        </is>
      </c>
      <c r="E7" s="21" t="inlineStr">
        <is>
          <t>S3</t>
        </is>
      </c>
      <c r="F7" s="21" t="inlineStr">
        <is>
          <t>中學功課+DSE英文</t>
        </is>
      </c>
      <c r="G7" s="21" t="inlineStr">
        <is>
          <t>功課+DSE</t>
        </is>
      </c>
      <c r="H7" s="21" t="inlineStr">
        <is>
          <t>一至五</t>
        </is>
      </c>
      <c r="I7" s="21" t="n">
        <v>3180</v>
      </c>
      <c r="J7" s="21" t="inlineStr">
        <is>
          <t>已付</t>
        </is>
      </c>
      <c r="K7" s="21" t="n">
        <v>0</v>
      </c>
      <c r="L7" s="21" t="inlineStr">
        <is>
          <t>李先生</t>
        </is>
      </c>
      <c r="M7" s="21" t="inlineStr">
        <is>
          <t>6234 5678</t>
        </is>
      </c>
      <c r="N7" s="21" t="inlineStr">
        <is>
          <t>✓</t>
        </is>
      </c>
      <c r="O7" s="21" t="inlineStr">
        <is>
          <t>2023-02-01</t>
        </is>
      </c>
      <c r="P7" s="21" t="inlineStr">
        <is>
          <t>2026-08-31</t>
        </is>
      </c>
      <c r="Q7" s="22">
        <f>IF(P7="","",P7-TODAY())</f>
        <v/>
      </c>
      <c r="R7" s="21" t="inlineStr">
        <is>
          <t>在讀</t>
        </is>
      </c>
      <c r="S7" s="21" t="inlineStr">
        <is>
          <t>導師B</t>
        </is>
      </c>
      <c r="T7" s="21" t="inlineStr">
        <is>
          <t>舊生</t>
        </is>
      </c>
      <c r="U7" s="21" t="inlineStr"/>
    </row>
    <row r="8">
      <c r="A8" s="19" t="inlineStr">
        <is>
          <t>S003</t>
        </is>
      </c>
      <c r="B8" s="19" t="inlineStr">
        <is>
          <t>黃俊軒</t>
        </is>
      </c>
      <c r="C8" s="19" t="inlineStr">
        <is>
          <t>Wong Chun Hin</t>
        </is>
      </c>
      <c r="D8" s="19" t="inlineStr">
        <is>
          <t>瑪利諾中學</t>
        </is>
      </c>
      <c r="E8" s="19" t="inlineStr">
        <is>
          <t>S5</t>
        </is>
      </c>
      <c r="F8" s="19" t="inlineStr">
        <is>
          <t>DSE三科套餐</t>
        </is>
      </c>
      <c r="G8" s="19" t="inlineStr">
        <is>
          <t>DSE</t>
        </is>
      </c>
      <c r="H8" s="19" t="inlineStr">
        <is>
          <t>一至六</t>
        </is>
      </c>
      <c r="I8" s="19" t="n">
        <v>3180</v>
      </c>
      <c r="J8" s="19" t="inlineStr">
        <is>
          <t>欠費</t>
        </is>
      </c>
      <c r="K8" s="19" t="n">
        <v>3180</v>
      </c>
      <c r="L8" s="19" t="inlineStr">
        <is>
          <t>黃太</t>
        </is>
      </c>
      <c r="M8" s="19" t="inlineStr">
        <is>
          <t>5345 6789</t>
        </is>
      </c>
      <c r="N8" s="19" t="inlineStr">
        <is>
          <t>✓</t>
        </is>
      </c>
      <c r="O8" s="19" t="inlineStr">
        <is>
          <t>2024-01-15</t>
        </is>
      </c>
      <c r="P8" s="19" t="inlineStr">
        <is>
          <t>2026-08-31</t>
        </is>
      </c>
      <c r="Q8" s="20">
        <f>IF(P8="","",P8-TODAY())</f>
        <v/>
      </c>
      <c r="R8" s="19" t="inlineStr">
        <is>
          <t>在讀</t>
        </is>
      </c>
      <c r="S8" s="19" t="inlineStr">
        <is>
          <t>導師A</t>
        </is>
      </c>
      <c r="T8" s="19" t="inlineStr">
        <is>
          <t>舊生</t>
        </is>
      </c>
      <c r="U8" s="19" t="inlineStr">
        <is>
          <t>欠6月學費</t>
        </is>
      </c>
    </row>
    <row r="9">
      <c r="A9" s="21" t="inlineStr">
        <is>
          <t>S004</t>
        </is>
      </c>
      <c r="B9" s="21" t="inlineStr">
        <is>
          <t>張詠琳</t>
        </is>
      </c>
      <c r="C9" s="21" t="inlineStr">
        <is>
          <t>Cheung Wing Lam</t>
        </is>
      </c>
      <c r="D9" s="21" t="inlineStr">
        <is>
          <t>嘉諾撒聖心</t>
        </is>
      </c>
      <c r="E9" s="21" t="inlineStr">
        <is>
          <t>P3</t>
        </is>
      </c>
      <c r="F9" s="21" t="inlineStr">
        <is>
          <t>小學功課（每週3日）</t>
        </is>
      </c>
      <c r="G9" s="21" t="inlineStr">
        <is>
          <t>功課輔導</t>
        </is>
      </c>
      <c r="H9" s="21" t="inlineStr">
        <is>
          <t>一三五</t>
        </is>
      </c>
      <c r="I9" s="21" t="n">
        <v>1580</v>
      </c>
      <c r="J9" s="21" t="inlineStr">
        <is>
          <t>已付</t>
        </is>
      </c>
      <c r="K9" s="21" t="n">
        <v>0</v>
      </c>
      <c r="L9" s="21" t="inlineStr">
        <is>
          <t>張太</t>
        </is>
      </c>
      <c r="M9" s="21" t="inlineStr">
        <is>
          <t>9876 5432</t>
        </is>
      </c>
      <c r="N9" s="21" t="inlineStr">
        <is>
          <t>✓</t>
        </is>
      </c>
      <c r="O9" s="21" t="inlineStr">
        <is>
          <t>2025-09-01</t>
        </is>
      </c>
      <c r="P9" s="21" t="inlineStr">
        <is>
          <t>2026-08-31</t>
        </is>
      </c>
      <c r="Q9" s="22">
        <f>IF(P9="","",P9-TODAY())</f>
        <v/>
      </c>
      <c r="R9" s="21" t="inlineStr">
        <is>
          <t>在讀</t>
        </is>
      </c>
      <c r="S9" s="21" t="inlineStr">
        <is>
          <t>導師A</t>
        </is>
      </c>
      <c r="T9" s="21" t="inlineStr">
        <is>
          <t>舊生帶新生</t>
        </is>
      </c>
      <c r="U9" s="21" t="inlineStr">
        <is>
          <t>半價優惠</t>
        </is>
      </c>
    </row>
    <row r="10">
      <c r="A10" s="19" t="inlineStr">
        <is>
          <t>S005</t>
        </is>
      </c>
      <c r="B10" s="19" t="inlineStr">
        <is>
          <t>何家樂</t>
        </is>
      </c>
      <c r="C10" s="19" t="inlineStr">
        <is>
          <t>Ho Ka Lok</t>
        </is>
      </c>
      <c r="D10" s="19" t="inlineStr">
        <is>
          <t>拔萃男書院</t>
        </is>
      </c>
      <c r="E10" s="19" t="inlineStr">
        <is>
          <t>S6</t>
        </is>
      </c>
      <c r="F10" s="19" t="inlineStr">
        <is>
          <t>DSE英文+數學</t>
        </is>
      </c>
      <c r="G10" s="19" t="inlineStr">
        <is>
          <t>DSE</t>
        </is>
      </c>
      <c r="H10" s="19" t="inlineStr">
        <is>
          <t>二四六</t>
        </is>
      </c>
      <c r="I10" s="19" t="n">
        <v>2360</v>
      </c>
      <c r="J10" s="19" t="inlineStr">
        <is>
          <t>部分</t>
        </is>
      </c>
      <c r="K10" s="19" t="n">
        <v>1180</v>
      </c>
      <c r="L10" s="19" t="inlineStr">
        <is>
          <t>何生</t>
        </is>
      </c>
      <c r="M10" s="19" t="inlineStr">
        <is>
          <t>8765 4321</t>
        </is>
      </c>
      <c r="N10" s="19" t="inlineStr">
        <is>
          <t>✓</t>
        </is>
      </c>
      <c r="O10" s="19" t="inlineStr">
        <is>
          <t>2023-09-01</t>
        </is>
      </c>
      <c r="P10" s="19" t="inlineStr">
        <is>
          <t>2026-06-30</t>
        </is>
      </c>
      <c r="Q10" s="20">
        <f>IF(P10="","",P10-TODAY())</f>
        <v/>
      </c>
      <c r="R10" s="19" t="inlineStr">
        <is>
          <t>在讀</t>
        </is>
      </c>
      <c r="S10" s="19" t="inlineStr">
        <is>
          <t>導師B</t>
        </is>
      </c>
      <c r="T10" s="19" t="inlineStr">
        <is>
          <t>學校門口</t>
        </is>
      </c>
      <c r="U10" s="19" t="inlineStr"/>
    </row>
    <row r="13">
      <c r="A13" s="14" t="inlineStr">
        <is>
          <t>月費總額</t>
        </is>
      </c>
      <c r="I13" s="11">
        <f>SUM(I6:I10)</f>
        <v/>
      </c>
    </row>
    <row r="14">
      <c r="A14" s="14" t="inlineStr">
        <is>
          <t>在讀人數</t>
        </is>
      </c>
      <c r="I14" s="14">
        <f>COUNTIF(R6:R200,"在讀")</f>
        <v/>
      </c>
    </row>
    <row r="15">
      <c r="A15" s="23" t="inlineStr">
        <is>
          <t>欠費人數</t>
        </is>
      </c>
      <c r="I15" s="23">
        <f>COUNTIF(J6:J200,"欠費")</f>
        <v/>
      </c>
    </row>
    <row r="16">
      <c r="A16" s="14" t="inlineStr">
        <is>
          <t>平均月費 (ARPU)</t>
        </is>
      </c>
      <c r="I16" s="24">
        <f>IFERROR(AVERAGEIF(R6:R200,"在讀",I6:I200),0)</f>
        <v/>
      </c>
    </row>
  </sheetData>
  <mergeCells count="2">
    <mergeCell ref="A2:R2"/>
    <mergeCell ref="A1:R1"/>
  </mergeCells>
  <conditionalFormatting sqref="J6:J200">
    <cfRule type="expression" priority="1" dxfId="0">
      <formula>$J6="欠費"</formula>
    </cfRule>
    <cfRule type="expression" priority="2" dxfId="1">
      <formula>$J6="部分"</formula>
    </cfRule>
  </conditionalFormatting>
  <conditionalFormatting sqref="Q6:Q200">
    <cfRule type="expression" priority="3" dxfId="2">
      <formula>AND(Q6&lt;&gt;"",Q6&lt;=30,Q6&gt;0)</formula>
    </cfRule>
    <cfRule type="expression" priority="4" dxfId="0">
      <formula>AND(Q6&lt;&gt;"",Q6&lt;=0)</formula>
    </cfRule>
  </conditionalFormatting>
  <dataValidations count="5">
    <dataValidation sqref="E6:E200" showDropDown="0" showInputMessage="0" showErrorMessage="0" allowBlank="1" type="list">
      <formula1>"P1,P2,P3,P4,P5,P6,S1,S2,S3,S4,S5,S6"</formula1>
    </dataValidation>
    <dataValidation sqref="G6:G200" showDropDown="0" showInputMessage="0" showErrorMessage="0" allowBlank="1" type="list">
      <formula1>"功課輔導,DSE,習慣養成,體育運動,暑期班,VIP,混合"</formula1>
    </dataValidation>
    <dataValidation sqref="J6:J200" showDropDown="0" showInputMessage="0" showErrorMessage="0" allowBlank="1" type="list">
      <formula1>"已付,欠費,部分,豁免"</formula1>
    </dataValidation>
    <dataValidation sqref="R6:R200" showDropDown="0" showInputMessage="0" showErrorMessage="0" allowBlank="1" type="list">
      <formula1>"在讀,暫停,退學,畢業,試堂"</formula1>
    </dataValidation>
    <dataValidation sqref="T6:T200" showDropDown="0" showInputMessage="0" showErrorMessage="0" allowBlank="1" type="list">
      <formula1>"舊生,舊生帶新生,學校門口,Facebook,Instagram,朋友轉介,其他"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7" customWidth="1" min="3" max="3"/>
    <col width="9" customWidth="1" min="4" max="4"/>
    <col width="10" customWidth="1" min="5" max="5"/>
    <col width="16" customWidth="1" min="6" max="6"/>
    <col width="9" customWidth="1" min="7" max="7"/>
    <col width="9" customWidth="1" min="8" max="8"/>
    <col width="8" customWidth="1" min="9" max="9"/>
    <col width="9" customWidth="1" min="10" max="10"/>
    <col width="9" customWidth="1" min="11" max="11"/>
    <col width="14" customWidth="1" min="12" max="12"/>
    <col width="8" customWidth="1" min="13" max="13"/>
    <col width="8" customWidth="1" min="14" max="14"/>
    <col width="14" customWidth="1" min="15" max="15"/>
  </cols>
  <sheetData>
    <row r="1">
      <c r="A1" s="1" t="inlineStr">
        <is>
          <t>俊才坊補習社 · 收費記錄</t>
        </is>
      </c>
    </row>
    <row r="2">
      <c r="A2" s="2" t="inlineStr">
        <is>
          <t>FPS / PayMe · 自動計算差額及收款狀態</t>
        </is>
      </c>
    </row>
    <row r="5" ht="30" customHeight="1">
      <c r="A5" s="18" t="inlineStr">
        <is>
          <t>日期</t>
        </is>
      </c>
      <c r="B5" s="18" t="inlineStr">
        <is>
          <t>收據編號</t>
        </is>
      </c>
      <c r="C5" s="18" t="inlineStr">
        <is>
          <t>學號</t>
        </is>
      </c>
      <c r="D5" s="18" t="inlineStr">
        <is>
          <t>學生姓名</t>
        </is>
      </c>
      <c r="E5" s="18" t="inlineStr">
        <is>
          <t>月份</t>
        </is>
      </c>
      <c r="F5" s="18" t="inlineStr">
        <is>
          <t>課程</t>
        </is>
      </c>
      <c r="G5" s="18" t="inlineStr">
        <is>
          <t>應繳金額</t>
        </is>
      </c>
      <c r="H5" s="18" t="inlineStr">
        <is>
          <t>實收金額</t>
        </is>
      </c>
      <c r="I5" s="18" t="inlineStr">
        <is>
          <t>差額</t>
        </is>
      </c>
      <c r="J5" s="18" t="inlineStr">
        <is>
          <t>收款狀態</t>
        </is>
      </c>
      <c r="K5" s="18" t="inlineStr">
        <is>
          <t>付款方式</t>
        </is>
      </c>
      <c r="L5" s="18" t="inlineStr">
        <is>
          <t>轉帳參考號</t>
        </is>
      </c>
      <c r="M5" s="18" t="inlineStr">
        <is>
          <t>經手人</t>
        </is>
      </c>
      <c r="N5" s="18" t="inlineStr">
        <is>
          <t>已開收據</t>
        </is>
      </c>
      <c r="O5" s="18" t="inlineStr">
        <is>
          <t>備註</t>
        </is>
      </c>
    </row>
    <row r="6">
      <c r="A6" s="19" t="inlineStr">
        <is>
          <t>2026-06-01</t>
        </is>
      </c>
      <c r="B6" s="20">
        <f>"R-"&amp;RIGHT(E6,4)&amp;TEXT(ROW()-5,"000")</f>
        <v/>
      </c>
      <c r="C6" s="19" t="inlineStr">
        <is>
          <t>S001</t>
        </is>
      </c>
      <c r="D6" s="20">
        <f>IFERROR(VLOOKUP(C6,學生資料庫!$A$6:$B$200,2,FALSE),"")</f>
        <v/>
      </c>
      <c r="E6" s="19" t="inlineStr">
        <is>
          <t>2026-06</t>
        </is>
      </c>
      <c r="F6" s="20">
        <f>IFERROR(VLOOKUP(C6,學生資料庫!$A$6:$F$200,6,FALSE),"")</f>
        <v/>
      </c>
      <c r="G6" s="19" t="n">
        <v>1980</v>
      </c>
      <c r="H6" s="19" t="n">
        <v>1980</v>
      </c>
      <c r="I6" s="20">
        <f>G6-H6</f>
        <v/>
      </c>
      <c r="J6" s="20">
        <f>IF(H6=0,"未付",IF(H6&gt;=G6,"已付清",IF(H6&gt;0,"部分","未付")))</f>
        <v/>
      </c>
      <c r="K6" s="19" t="inlineStr">
        <is>
          <t>FPS</t>
        </is>
      </c>
      <c r="L6" s="19" t="inlineStr">
        <is>
          <t>FRN12345</t>
        </is>
      </c>
      <c r="M6" s="19" t="inlineStr">
        <is>
          <t>營運者</t>
        </is>
      </c>
      <c r="N6" s="19" t="inlineStr">
        <is>
          <t>✓</t>
        </is>
      </c>
      <c r="O6" s="19" t="inlineStr"/>
    </row>
    <row r="7">
      <c r="A7" s="21" t="inlineStr">
        <is>
          <t>2026-06-01</t>
        </is>
      </c>
      <c r="B7" s="22">
        <f>"R-"&amp;RIGHT(E7,4)&amp;TEXT(ROW()-5,"000")</f>
        <v/>
      </c>
      <c r="C7" s="21" t="inlineStr">
        <is>
          <t>S002</t>
        </is>
      </c>
      <c r="D7" s="22">
        <f>IFERROR(VLOOKUP(C7,學生資料庫!$A$6:$B$200,2,FALSE),"")</f>
        <v/>
      </c>
      <c r="E7" s="21" t="inlineStr">
        <is>
          <t>2026-06</t>
        </is>
      </c>
      <c r="F7" s="22">
        <f>IFERROR(VLOOKUP(C7,學生資料庫!$A$6:$F$200,6,FALSE),"")</f>
        <v/>
      </c>
      <c r="G7" s="21" t="n">
        <v>3180</v>
      </c>
      <c r="H7" s="21" t="n">
        <v>3180</v>
      </c>
      <c r="I7" s="22">
        <f>G7-H7</f>
        <v/>
      </c>
      <c r="J7" s="22">
        <f>IF(H7=0,"未付",IF(H7&gt;=G7,"已付清",IF(H7&gt;0,"部分","未付")))</f>
        <v/>
      </c>
      <c r="K7" s="21" t="inlineStr">
        <is>
          <t>PayMe</t>
        </is>
      </c>
      <c r="L7" s="21" t="inlineStr">
        <is>
          <t>PM98765</t>
        </is>
      </c>
      <c r="M7" s="21" t="inlineStr">
        <is>
          <t>營運者</t>
        </is>
      </c>
      <c r="N7" s="21" t="inlineStr">
        <is>
          <t>✓</t>
        </is>
      </c>
      <c r="O7" s="21" t="inlineStr"/>
    </row>
    <row r="8">
      <c r="A8" s="19" t="inlineStr">
        <is>
          <t>2026-06-05</t>
        </is>
      </c>
      <c r="B8" s="20">
        <f>"R-"&amp;RIGHT(E8,4)&amp;TEXT(ROW()-5,"000")</f>
        <v/>
      </c>
      <c r="C8" s="19" t="inlineStr">
        <is>
          <t>S003</t>
        </is>
      </c>
      <c r="D8" s="20">
        <f>IFERROR(VLOOKUP(C8,學生資料庫!$A$6:$B$200,2,FALSE),"")</f>
        <v/>
      </c>
      <c r="E8" s="19" t="inlineStr">
        <is>
          <t>2026-06</t>
        </is>
      </c>
      <c r="F8" s="20">
        <f>IFERROR(VLOOKUP(C8,學生資料庫!$A$6:$F$200,6,FALSE),"")</f>
        <v/>
      </c>
      <c r="G8" s="19" t="n">
        <v>3180</v>
      </c>
      <c r="H8" s="19" t="n">
        <v>0</v>
      </c>
      <c r="I8" s="20">
        <f>G8-H8</f>
        <v/>
      </c>
      <c r="J8" s="20">
        <f>IF(H8=0,"未付",IF(H8&gt;=G8,"已付清",IF(H8&gt;0,"部分","未付")))</f>
        <v/>
      </c>
      <c r="K8" s="19" t="inlineStr">
        <is>
          <t>—</t>
        </is>
      </c>
      <c r="L8" s="19" t="inlineStr">
        <is>
          <t>—</t>
        </is>
      </c>
      <c r="M8" s="19" t="inlineStr">
        <is>
          <t>—</t>
        </is>
      </c>
      <c r="N8" s="19" t="inlineStr">
        <is>
          <t>✗</t>
        </is>
      </c>
      <c r="O8" s="19" t="inlineStr">
        <is>
          <t>待追繳</t>
        </is>
      </c>
    </row>
    <row r="9">
      <c r="A9" s="21" t="inlineStr">
        <is>
          <t>2026-06-10</t>
        </is>
      </c>
      <c r="B9" s="22">
        <f>"R-"&amp;RIGHT(E9,4)&amp;TEXT(ROW()-5,"000")</f>
        <v/>
      </c>
      <c r="C9" s="21" t="inlineStr">
        <is>
          <t>S004</t>
        </is>
      </c>
      <c r="D9" s="22">
        <f>IFERROR(VLOOKUP(C9,學生資料庫!$A$6:$B$200,2,FALSE),"")</f>
        <v/>
      </c>
      <c r="E9" s="21" t="inlineStr">
        <is>
          <t>2026-06</t>
        </is>
      </c>
      <c r="F9" s="22">
        <f>IFERROR(VLOOKUP(C9,學生資料庫!$A$6:$F$200,6,FALSE),"")</f>
        <v/>
      </c>
      <c r="G9" s="21" t="n">
        <v>1580</v>
      </c>
      <c r="H9" s="21" t="n">
        <v>1580</v>
      </c>
      <c r="I9" s="22">
        <f>G9-H9</f>
        <v/>
      </c>
      <c r="J9" s="22">
        <f>IF(H9=0,"未付",IF(H9&gt;=G9,"已付清",IF(H9&gt;0,"部分","未付")))</f>
        <v/>
      </c>
      <c r="K9" s="21" t="inlineStr">
        <is>
          <t>FPS</t>
        </is>
      </c>
      <c r="L9" s="21" t="inlineStr">
        <is>
          <t>FRN12399</t>
        </is>
      </c>
      <c r="M9" s="21" t="inlineStr">
        <is>
          <t>營運者</t>
        </is>
      </c>
      <c r="N9" s="21" t="inlineStr">
        <is>
          <t>✓</t>
        </is>
      </c>
      <c r="O9" s="21" t="inlineStr">
        <is>
          <t>半價優惠</t>
        </is>
      </c>
    </row>
    <row r="12">
      <c r="A12" s="14" t="inlineStr">
        <is>
          <t>本月實收合計</t>
        </is>
      </c>
      <c r="H12" s="11">
        <f>SUMIF(E6:E200,TEXT(TODAY(),"YYYY-MM"),H6:H200)</f>
        <v/>
      </c>
    </row>
    <row r="13">
      <c r="A13" s="23" t="inlineStr">
        <is>
          <t>本月未收合計</t>
        </is>
      </c>
      <c r="H13" s="25">
        <f>SUMIF(E6:E200,TEXT(TODAY(),"YYYY-MM"),I6:I200)</f>
        <v/>
      </c>
    </row>
  </sheetData>
  <mergeCells count="2">
    <mergeCell ref="A1:O1"/>
    <mergeCell ref="A2:O2"/>
  </mergeCells>
  <conditionalFormatting sqref="J6:J200">
    <cfRule type="expression" priority="1" dxfId="0">
      <formula>$J6="未付"</formula>
    </cfRule>
    <cfRule type="expression" priority="2" dxfId="1">
      <formula>$J6="部分"</formula>
    </cfRule>
    <cfRule type="expression" priority="3" dxfId="3">
      <formula>$J6="已付清"</formula>
    </cfRule>
  </conditionalFormatting>
  <dataValidations count="2">
    <dataValidation sqref="K6:K200" showDropDown="0" showInputMessage="0" showErrorMessage="0" allowBlank="1" type="list">
      <formula1>"FPS,PayMe,現金,支票,—"</formula1>
    </dataValidation>
    <dataValidation sqref="N6:N200" showDropDown="0" showInputMessage="0" showErrorMessage="0" allowBlank="1" type="list">
      <formula1>"✓,✗"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9" customWidth="1" min="3" max="3"/>
    <col width="15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9" customWidth="1" min="10" max="10"/>
    <col width="8" customWidth="1" min="11" max="11"/>
    <col width="9" customWidth="1" min="12" max="12"/>
    <col width="10" customWidth="1" min="13" max="13"/>
    <col width="14" customWidth="1" min="14" max="14"/>
  </cols>
  <sheetData>
    <row r="1">
      <c r="A1" s="1" t="inlineStr">
        <is>
          <t>俊才坊補習社 · 出席記錄</t>
        </is>
      </c>
    </row>
    <row r="2">
      <c r="A2" s="2" t="inlineStr">
        <is>
          <t>每日點名 · 自動計算遲到分鐘及月出席率</t>
        </is>
      </c>
    </row>
    <row r="5" ht="30" customHeight="1">
      <c r="A5" s="18" t="inlineStr">
        <is>
          <t>日期</t>
        </is>
      </c>
      <c r="B5" s="18" t="inlineStr">
        <is>
          <t>學號</t>
        </is>
      </c>
      <c r="C5" s="18" t="inlineStr">
        <is>
          <t>學生姓名</t>
        </is>
      </c>
      <c r="D5" s="18" t="inlineStr">
        <is>
          <t>課程</t>
        </is>
      </c>
      <c r="E5" s="18" t="inlineStr">
        <is>
          <t>應到時間</t>
        </is>
      </c>
      <c r="F5" s="18" t="inlineStr">
        <is>
          <t>實到時間</t>
        </is>
      </c>
      <c r="G5" s="18" t="inlineStr">
        <is>
          <t>遲到(分鐘)</t>
        </is>
      </c>
      <c r="H5" s="18" t="inlineStr">
        <is>
          <t>出席狀態</t>
        </is>
      </c>
      <c r="I5" s="18" t="inlineStr">
        <is>
          <t>離開時間</t>
        </is>
      </c>
      <c r="J5" s="18" t="inlineStr">
        <is>
          <t>功課完成</t>
        </is>
      </c>
      <c r="K5" s="18" t="inlineStr">
        <is>
          <t>導師</t>
        </is>
      </c>
      <c r="L5" s="18" t="inlineStr">
        <is>
          <t>家長已通知</t>
        </is>
      </c>
      <c r="M5" s="18" t="inlineStr">
        <is>
          <t>補課安排</t>
        </is>
      </c>
      <c r="N5" s="18" t="inlineStr">
        <is>
          <t>備註</t>
        </is>
      </c>
    </row>
    <row r="6">
      <c r="A6" s="19" t="inlineStr">
        <is>
          <t>2026-06-11</t>
        </is>
      </c>
      <c r="B6" s="19" t="inlineStr">
        <is>
          <t>S001</t>
        </is>
      </c>
      <c r="C6" s="20">
        <f>IFERROR(VLOOKUP(B6,學生資料庫!$A$6:$B$200,2,FALSE),"")</f>
        <v/>
      </c>
      <c r="D6" s="20">
        <f>IFERROR(VLOOKUP(B6,學生資料庫!$A$6:$F$200,6,FALSE),"")</f>
        <v/>
      </c>
      <c r="E6" s="19" t="inlineStr">
        <is>
          <t>15:30</t>
        </is>
      </c>
      <c r="F6" s="19" t="inlineStr">
        <is>
          <t>15:25</t>
        </is>
      </c>
      <c r="G6" s="20">
        <f>IF(OR(F6="—",F6=""),"",IF(G6="缺席",0,IF(F6&lt;E6,0,IF(ISNUMBER(F6),(F6-E6)*1440,""))))</f>
        <v/>
      </c>
      <c r="H6" s="19" t="inlineStr">
        <is>
          <t>出席</t>
        </is>
      </c>
      <c r="I6" s="19" t="inlineStr">
        <is>
          <t>18:30</t>
        </is>
      </c>
      <c r="J6" s="19" t="inlineStr">
        <is>
          <t>完成</t>
        </is>
      </c>
      <c r="K6" s="19" t="inlineStr">
        <is>
          <t>導師A</t>
        </is>
      </c>
      <c r="L6" s="19" t="inlineStr">
        <is>
          <t>—</t>
        </is>
      </c>
      <c r="M6" s="19" t="inlineStr">
        <is>
          <t>—</t>
        </is>
      </c>
      <c r="N6" s="19" t="inlineStr"/>
    </row>
    <row r="7">
      <c r="A7" s="21" t="inlineStr">
        <is>
          <t>2026-06-11</t>
        </is>
      </c>
      <c r="B7" s="21" t="inlineStr">
        <is>
          <t>S002</t>
        </is>
      </c>
      <c r="C7" s="22">
        <f>IFERROR(VLOOKUP(B7,學生資料庫!$A$6:$B$200,2,FALSE),"")</f>
        <v/>
      </c>
      <c r="D7" s="22">
        <f>IFERROR(VLOOKUP(B7,學生資料庫!$A$6:$F$200,6,FALSE),"")</f>
        <v/>
      </c>
      <c r="E7" s="21" t="inlineStr">
        <is>
          <t>16:00</t>
        </is>
      </c>
      <c r="F7" s="21" t="inlineStr">
        <is>
          <t>16:10</t>
        </is>
      </c>
      <c r="G7" s="22">
        <f>IF(OR(F7="—",F7=""),"",IF(G7="缺席",0,IF(F7&lt;E7,0,IF(ISNUMBER(F7),(F7-E7)*1440,""))))</f>
        <v/>
      </c>
      <c r="H7" s="21" t="inlineStr">
        <is>
          <t>遲到</t>
        </is>
      </c>
      <c r="I7" s="21" t="inlineStr">
        <is>
          <t>19:00</t>
        </is>
      </c>
      <c r="J7" s="21" t="inlineStr">
        <is>
          <t>完成</t>
        </is>
      </c>
      <c r="K7" s="21" t="inlineStr">
        <is>
          <t>導師B</t>
        </is>
      </c>
      <c r="L7" s="21" t="inlineStr">
        <is>
          <t>—</t>
        </is>
      </c>
      <c r="M7" s="21" t="inlineStr">
        <is>
          <t>—</t>
        </is>
      </c>
      <c r="N7" s="21" t="inlineStr"/>
    </row>
    <row r="8">
      <c r="A8" s="19" t="inlineStr">
        <is>
          <t>2026-06-11</t>
        </is>
      </c>
      <c r="B8" s="19" t="inlineStr">
        <is>
          <t>S003</t>
        </is>
      </c>
      <c r="C8" s="20">
        <f>IFERROR(VLOOKUP(B8,學生資料庫!$A$6:$B$200,2,FALSE),"")</f>
        <v/>
      </c>
      <c r="D8" s="20">
        <f>IFERROR(VLOOKUP(B8,學生資料庫!$A$6:$F$200,6,FALSE),"")</f>
        <v/>
      </c>
      <c r="E8" s="19" t="inlineStr">
        <is>
          <t>18:30</t>
        </is>
      </c>
      <c r="F8" s="19" t="inlineStr">
        <is>
          <t>—</t>
        </is>
      </c>
      <c r="G8" s="20">
        <f>IF(OR(F8="—",F8=""),"",IF(G8="缺席",0,IF(F8&lt;E8,0,IF(ISNUMBER(F8),(F8-E8)*1440,""))))</f>
        <v/>
      </c>
      <c r="H8" s="19" t="inlineStr">
        <is>
          <t>缺席</t>
        </is>
      </c>
      <c r="I8" s="19" t="inlineStr">
        <is>
          <t>—</t>
        </is>
      </c>
      <c r="J8" s="19" t="inlineStr">
        <is>
          <t>—</t>
        </is>
      </c>
      <c r="K8" s="19" t="inlineStr">
        <is>
          <t>導師A</t>
        </is>
      </c>
      <c r="L8" s="19" t="inlineStr">
        <is>
          <t>✓</t>
        </is>
      </c>
      <c r="M8" s="19" t="inlineStr">
        <is>
          <t>2026-06-12</t>
        </is>
      </c>
      <c r="N8" s="19" t="inlineStr">
        <is>
          <t>家長已請假</t>
        </is>
      </c>
    </row>
    <row r="9">
      <c r="A9" s="21" t="inlineStr">
        <is>
          <t>2026-06-11</t>
        </is>
      </c>
      <c r="B9" s="21" t="inlineStr">
        <is>
          <t>S004</t>
        </is>
      </c>
      <c r="C9" s="22">
        <f>IFERROR(VLOOKUP(B9,學生資料庫!$A$6:$B$200,2,FALSE),"")</f>
        <v/>
      </c>
      <c r="D9" s="22">
        <f>IFERROR(VLOOKUP(B9,學生資料庫!$A$6:$F$200,6,FALSE),"")</f>
        <v/>
      </c>
      <c r="E9" s="21" t="inlineStr">
        <is>
          <t>15:30</t>
        </is>
      </c>
      <c r="F9" s="21" t="inlineStr">
        <is>
          <t>15:30</t>
        </is>
      </c>
      <c r="G9" s="22">
        <f>IF(OR(F9="—",F9=""),"",IF(G9="缺席",0,IF(F9&lt;E9,0,IF(ISNUMBER(F9),(F9-E9)*1440,""))))</f>
        <v/>
      </c>
      <c r="H9" s="21" t="inlineStr">
        <is>
          <t>出席</t>
        </is>
      </c>
      <c r="I9" s="21" t="inlineStr">
        <is>
          <t>18:00</t>
        </is>
      </c>
      <c r="J9" s="21" t="inlineStr">
        <is>
          <t>完成</t>
        </is>
      </c>
      <c r="K9" s="21" t="inlineStr">
        <is>
          <t>導師A</t>
        </is>
      </c>
      <c r="L9" s="21" t="inlineStr">
        <is>
          <t>—</t>
        </is>
      </c>
      <c r="M9" s="21" t="inlineStr">
        <is>
          <t>—</t>
        </is>
      </c>
      <c r="N9" s="21" t="inlineStr"/>
    </row>
    <row r="12">
      <c r="A12" s="26" t="inlineStr">
        <is>
          <t>本月出席統計（按學號）</t>
        </is>
      </c>
    </row>
    <row r="13">
      <c r="A13" s="13" t="inlineStr">
        <is>
          <t>學號</t>
        </is>
      </c>
      <c r="B13" s="13" t="inlineStr">
        <is>
          <t>姓名</t>
        </is>
      </c>
      <c r="C13" s="13" t="inlineStr">
        <is>
          <t>應到</t>
        </is>
      </c>
      <c r="D13" s="13" t="inlineStr">
        <is>
          <t>出席</t>
        </is>
      </c>
      <c r="E13" s="13" t="inlineStr">
        <is>
          <t>遲到</t>
        </is>
      </c>
      <c r="F13" s="13" t="inlineStr">
        <is>
          <t>缺席</t>
        </is>
      </c>
      <c r="G13" s="13" t="inlineStr">
        <is>
          <t>出席率</t>
        </is>
      </c>
    </row>
    <row r="14">
      <c r="A14" t="inlineStr">
        <is>
          <t>S001</t>
        </is>
      </c>
      <c r="B14">
        <f>IFERROR(VLOOKUP(A14,學生資料庫!$A$6:$B$200,2,FALSE),"")</f>
        <v/>
      </c>
      <c r="C14">
        <f>COUNTIF(B$6:B$200,A14)</f>
        <v/>
      </c>
      <c r="D14">
        <f>COUNTIFS(B$6:B$200,A14,H$6:H$200,"出席")</f>
        <v/>
      </c>
      <c r="E14">
        <f>COUNTIFS(B$6:B$200,A14,H$6:H$200,"遲到")</f>
        <v/>
      </c>
      <c r="F14">
        <f>COUNTIFS(B$6:B$200,A14,H$6:H$200,"缺席")</f>
        <v/>
      </c>
      <c r="G14">
        <f>IF(C14=0,"—",TEXT(D14/C14,"0%"))</f>
        <v/>
      </c>
    </row>
    <row r="15">
      <c r="A15" t="inlineStr">
        <is>
          <t>S002</t>
        </is>
      </c>
      <c r="B15">
        <f>IFERROR(VLOOKUP(A15,學生資料庫!$A$6:$B$200,2,FALSE),"")</f>
        <v/>
      </c>
      <c r="C15">
        <f>COUNTIF(B$6:B$200,A15)</f>
        <v/>
      </c>
      <c r="D15">
        <f>COUNTIFS(B$6:B$200,A15,H$6:H$200,"出席")</f>
        <v/>
      </c>
      <c r="E15">
        <f>COUNTIFS(B$6:B$200,A15,H$6:H$200,"遲到")</f>
        <v/>
      </c>
      <c r="F15">
        <f>COUNTIFS(B$6:B$200,A15,H$6:H$200,"缺席")</f>
        <v/>
      </c>
      <c r="G15">
        <f>IF(C15=0,"—",TEXT(D15/C15,"0%"))</f>
        <v/>
      </c>
    </row>
    <row r="16">
      <c r="A16" t="inlineStr">
        <is>
          <t>S003</t>
        </is>
      </c>
      <c r="B16">
        <f>IFERROR(VLOOKUP(A16,學生資料庫!$A$6:$B$200,2,FALSE),"")</f>
        <v/>
      </c>
      <c r="C16">
        <f>COUNTIF(B$6:B$200,A16)</f>
        <v/>
      </c>
      <c r="D16">
        <f>COUNTIFS(B$6:B$200,A16,H$6:H$200,"出席")</f>
        <v/>
      </c>
      <c r="E16">
        <f>COUNTIFS(B$6:B$200,A16,H$6:H$200,"遲到")</f>
        <v/>
      </c>
      <c r="F16">
        <f>COUNTIFS(B$6:B$200,A16,H$6:H$200,"缺席")</f>
        <v/>
      </c>
      <c r="G16">
        <f>IF(C16=0,"—",TEXT(D16/C16,"0%"))</f>
        <v/>
      </c>
    </row>
    <row r="17">
      <c r="A17" t="inlineStr">
        <is>
          <t>S004</t>
        </is>
      </c>
      <c r="B17">
        <f>IFERROR(VLOOKUP(A17,學生資料庫!$A$6:$B$200,2,FALSE),"")</f>
        <v/>
      </c>
      <c r="C17">
        <f>COUNTIF(B$6:B$200,A17)</f>
        <v/>
      </c>
      <c r="D17">
        <f>COUNTIFS(B$6:B$200,A17,H$6:H$200,"出席")</f>
        <v/>
      </c>
      <c r="E17">
        <f>COUNTIFS(B$6:B$200,A17,H$6:H$200,"遲到")</f>
        <v/>
      </c>
      <c r="F17">
        <f>COUNTIFS(B$6:B$200,A17,H$6:H$200,"缺席")</f>
        <v/>
      </c>
      <c r="G17">
        <f>IF(C17=0,"—",TEXT(D17/C17,"0%"))</f>
        <v/>
      </c>
    </row>
  </sheetData>
  <mergeCells count="2">
    <mergeCell ref="A2:N2"/>
    <mergeCell ref="A1:N1"/>
  </mergeCells>
  <conditionalFormatting sqref="H6:H200">
    <cfRule type="expression" priority="1" dxfId="0">
      <formula>$H6="缺席"</formula>
    </cfRule>
    <cfRule type="expression" priority="2" dxfId="1">
      <formula>$H6="遲到"</formula>
    </cfRule>
    <cfRule type="expression" priority="3" dxfId="3">
      <formula>$H6="出席"</formula>
    </cfRule>
  </conditionalFormatting>
  <dataValidations count="3">
    <dataValidation sqref="H6:H200" showDropDown="0" showInputMessage="0" showErrorMessage="0" allowBlank="1" type="list">
      <formula1>"出席,遲到,缺席,請假"</formula1>
    </dataValidation>
    <dataValidation sqref="J6:J200" showDropDown="0" showInputMessage="0" showErrorMessage="0" allowBlank="1" type="list">
      <formula1>"完成,未完成,部分,—"</formula1>
    </dataValidation>
    <dataValidation sqref="L6:L200" showDropDown="0" showInputMessage="0" showErrorMessage="0" allowBlank="1" type="list">
      <formula1>"✓,✗,—"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7" customWidth="1" min="3" max="3"/>
    <col width="9" customWidth="1" min="4" max="4"/>
    <col width="8" customWidth="1" min="5" max="5"/>
    <col width="7" customWidth="1" min="6" max="6"/>
    <col width="8" customWidth="1" min="7" max="7"/>
    <col width="5" customWidth="1" min="8" max="8"/>
    <col width="5" customWidth="1" min="9" max="9"/>
    <col width="5" customWidth="1" min="10" max="10"/>
    <col width="7" customWidth="1" min="11" max="11"/>
    <col width="9" customWidth="1" min="12" max="12"/>
    <col width="10" customWidth="1" min="13" max="13"/>
    <col width="7" customWidth="1" min="14" max="14"/>
    <col width="12" customWidth="1" min="15" max="15"/>
  </cols>
  <sheetData>
    <row r="1">
      <c r="A1" s="1" t="inlineStr">
        <is>
          <t>俊才坊補習社 · 每週排課表</t>
        </is>
      </c>
    </row>
    <row r="2">
      <c r="A2" s="2" t="inlineStr">
        <is>
          <t>自動計算滿班率及預估月營收</t>
        </is>
      </c>
    </row>
    <row r="5" ht="30" customHeight="1">
      <c r="A5" s="18" t="inlineStr">
        <is>
          <t>星期</t>
        </is>
      </c>
      <c r="B5" s="18" t="inlineStr">
        <is>
          <t>時段</t>
        </is>
      </c>
      <c r="C5" s="18" t="inlineStr">
        <is>
          <t>課程名稱</t>
        </is>
      </c>
      <c r="D5" s="18" t="inlineStr">
        <is>
          <t>課程類別</t>
        </is>
      </c>
      <c r="E5" s="18" t="inlineStr">
        <is>
          <t>導師</t>
        </is>
      </c>
      <c r="F5" s="18" t="inlineStr">
        <is>
          <t>課室</t>
        </is>
      </c>
      <c r="G5" s="18" t="inlineStr">
        <is>
          <t>對象</t>
        </is>
      </c>
      <c r="H5" s="18" t="inlineStr">
        <is>
          <t>班額</t>
        </is>
      </c>
      <c r="I5" s="18" t="inlineStr">
        <is>
          <t>已報</t>
        </is>
      </c>
      <c r="J5" s="18" t="inlineStr">
        <is>
          <t>候補</t>
        </is>
      </c>
      <c r="K5" s="18" t="inlineStr">
        <is>
          <t>滿班率</t>
        </is>
      </c>
      <c r="L5" s="18" t="inlineStr">
        <is>
          <t>月費參考</t>
        </is>
      </c>
      <c r="M5" s="18" t="inlineStr">
        <is>
          <t>預估月營收</t>
        </is>
      </c>
      <c r="N5" s="18" t="inlineStr">
        <is>
          <t>狀態</t>
        </is>
      </c>
      <c r="O5" s="18" t="inlineStr">
        <is>
          <t>備註</t>
        </is>
      </c>
    </row>
    <row r="6">
      <c r="A6" s="19" t="inlineStr">
        <is>
          <t>星期一</t>
        </is>
      </c>
      <c r="B6" s="19" t="inlineStr">
        <is>
          <t>15:30–18:30</t>
        </is>
      </c>
      <c r="C6" s="19" t="inlineStr">
        <is>
          <t>小學功課輔導</t>
        </is>
      </c>
      <c r="D6" s="19" t="inlineStr">
        <is>
          <t>功課輔導</t>
        </is>
      </c>
      <c r="E6" s="19" t="inlineStr">
        <is>
          <t>導師A</t>
        </is>
      </c>
      <c r="F6" s="19" t="inlineStr">
        <is>
          <t>課室A</t>
        </is>
      </c>
      <c r="G6" s="19" t="inlineStr">
        <is>
          <t>P1–P6</t>
        </is>
      </c>
      <c r="H6" s="19" t="n">
        <v>12</v>
      </c>
      <c r="I6" s="19" t="n">
        <v>10</v>
      </c>
      <c r="J6" s="19" t="n">
        <v>2</v>
      </c>
      <c r="K6" s="20">
        <f>IF(H6=0,"—",TEXT(I6/H6,"0%"))</f>
        <v/>
      </c>
      <c r="L6" s="19" t="n">
        <v>1980</v>
      </c>
      <c r="M6" s="20">
        <f>I6*L6</f>
        <v/>
      </c>
      <c r="N6" s="19" t="inlineStr">
        <is>
          <t>開班</t>
        </is>
      </c>
      <c r="O6" s="19" t="inlineStr"/>
    </row>
    <row r="7">
      <c r="A7" s="21" t="inlineStr">
        <is>
          <t>星期一</t>
        </is>
      </c>
      <c r="B7" s="21" t="inlineStr">
        <is>
          <t>16:00–19:00</t>
        </is>
      </c>
      <c r="C7" s="21" t="inlineStr">
        <is>
          <t>中學功課輔導</t>
        </is>
      </c>
      <c r="D7" s="21" t="inlineStr">
        <is>
          <t>功課輔導</t>
        </is>
      </c>
      <c r="E7" s="21" t="inlineStr">
        <is>
          <t>導師B</t>
        </is>
      </c>
      <c r="F7" s="21" t="inlineStr">
        <is>
          <t>課室B</t>
        </is>
      </c>
      <c r="G7" s="21" t="inlineStr">
        <is>
          <t>S1–S3</t>
        </is>
      </c>
      <c r="H7" s="21" t="n">
        <v>10</v>
      </c>
      <c r="I7" s="21" t="n">
        <v>8</v>
      </c>
      <c r="J7" s="21" t="n">
        <v>0</v>
      </c>
      <c r="K7" s="22">
        <f>IF(H7=0,"—",TEXT(I7/H7,"0%"))</f>
        <v/>
      </c>
      <c r="L7" s="21" t="n">
        <v>2480</v>
      </c>
      <c r="M7" s="22">
        <f>I7*L7</f>
        <v/>
      </c>
      <c r="N7" s="21" t="inlineStr">
        <is>
          <t>開班</t>
        </is>
      </c>
      <c r="O7" s="21" t="inlineStr"/>
    </row>
    <row r="8">
      <c r="A8" s="19" t="inlineStr">
        <is>
          <t>星期一</t>
        </is>
      </c>
      <c r="B8" s="19" t="inlineStr">
        <is>
          <t>18:30–20:30</t>
        </is>
      </c>
      <c r="C8" s="19" t="inlineStr">
        <is>
          <t>DSE 英文</t>
        </is>
      </c>
      <c r="D8" s="19" t="inlineStr">
        <is>
          <t>DSE</t>
        </is>
      </c>
      <c r="E8" s="19" t="inlineStr">
        <is>
          <t>導師A</t>
        </is>
      </c>
      <c r="F8" s="19" t="inlineStr">
        <is>
          <t>課室A</t>
        </is>
      </c>
      <c r="G8" s="19" t="inlineStr">
        <is>
          <t>S4–S6</t>
        </is>
      </c>
      <c r="H8" s="19" t="n">
        <v>12</v>
      </c>
      <c r="I8" s="19" t="n">
        <v>9</v>
      </c>
      <c r="J8" s="19" t="n">
        <v>1</v>
      </c>
      <c r="K8" s="20">
        <f>IF(H8=0,"—",TEXT(I8/H8,"0%"))</f>
        <v/>
      </c>
      <c r="L8" s="19" t="n">
        <v>1180</v>
      </c>
      <c r="M8" s="20">
        <f>I8*L8</f>
        <v/>
      </c>
      <c r="N8" s="19" t="inlineStr">
        <is>
          <t>開班</t>
        </is>
      </c>
      <c r="O8" s="19" t="inlineStr"/>
    </row>
    <row r="9">
      <c r="A9" s="21" t="inlineStr">
        <is>
          <t>星期二</t>
        </is>
      </c>
      <c r="B9" s="21" t="inlineStr">
        <is>
          <t>18:30–20:30</t>
        </is>
      </c>
      <c r="C9" s="21" t="inlineStr">
        <is>
          <t>DSE 中文</t>
        </is>
      </c>
      <c r="D9" s="21" t="inlineStr">
        <is>
          <t>DSE</t>
        </is>
      </c>
      <c r="E9" s="21" t="inlineStr">
        <is>
          <t>導師B</t>
        </is>
      </c>
      <c r="F9" s="21" t="inlineStr">
        <is>
          <t>課室B</t>
        </is>
      </c>
      <c r="G9" s="21" t="inlineStr">
        <is>
          <t>S4–S6</t>
        </is>
      </c>
      <c r="H9" s="21" t="n">
        <v>12</v>
      </c>
      <c r="I9" s="21" t="n">
        <v>7</v>
      </c>
      <c r="J9" s="21" t="n">
        <v>0</v>
      </c>
      <c r="K9" s="22">
        <f>IF(H9=0,"—",TEXT(I9/H9,"0%"))</f>
        <v/>
      </c>
      <c r="L9" s="21" t="n">
        <v>1180</v>
      </c>
      <c r="M9" s="22">
        <f>I9*L9</f>
        <v/>
      </c>
      <c r="N9" s="21" t="inlineStr">
        <is>
          <t>開班</t>
        </is>
      </c>
      <c r="O9" s="21" t="inlineStr"/>
    </row>
    <row r="10">
      <c r="A10" s="19" t="inlineStr">
        <is>
          <t>星期三</t>
        </is>
      </c>
      <c r="B10" s="19" t="inlineStr">
        <is>
          <t>18:30–20:30</t>
        </is>
      </c>
      <c r="C10" s="19" t="inlineStr">
        <is>
          <t>DSE 英文</t>
        </is>
      </c>
      <c r="D10" s="19" t="inlineStr">
        <is>
          <t>DSE</t>
        </is>
      </c>
      <c r="E10" s="19" t="inlineStr">
        <is>
          <t>導師A</t>
        </is>
      </c>
      <c r="F10" s="19" t="inlineStr">
        <is>
          <t>課室A</t>
        </is>
      </c>
      <c r="G10" s="19" t="inlineStr">
        <is>
          <t>S4–S6</t>
        </is>
      </c>
      <c r="H10" s="19" t="n">
        <v>12</v>
      </c>
      <c r="I10" s="19" t="n">
        <v>9</v>
      </c>
      <c r="J10" s="19" t="n">
        <v>0</v>
      </c>
      <c r="K10" s="20">
        <f>IF(H10=0,"—",TEXT(I10/H10,"0%"))</f>
        <v/>
      </c>
      <c r="L10" s="19" t="n">
        <v>1180</v>
      </c>
      <c r="M10" s="20">
        <f>I10*L10</f>
        <v/>
      </c>
      <c r="N10" s="19" t="inlineStr">
        <is>
          <t>開班</t>
        </is>
      </c>
      <c r="O10" s="19" t="inlineStr"/>
    </row>
    <row r="11">
      <c r="A11" s="21" t="inlineStr">
        <is>
          <t>星期四</t>
        </is>
      </c>
      <c r="B11" s="21" t="inlineStr">
        <is>
          <t>18:30–20:30</t>
        </is>
      </c>
      <c r="C11" s="21" t="inlineStr">
        <is>
          <t>DSE 中文</t>
        </is>
      </c>
      <c r="D11" s="21" t="inlineStr">
        <is>
          <t>DSE</t>
        </is>
      </c>
      <c r="E11" s="21" t="inlineStr">
        <is>
          <t>導師B</t>
        </is>
      </c>
      <c r="F11" s="21" t="inlineStr">
        <is>
          <t>課室B</t>
        </is>
      </c>
      <c r="G11" s="21" t="inlineStr">
        <is>
          <t>S4–S6</t>
        </is>
      </c>
      <c r="H11" s="21" t="n">
        <v>12</v>
      </c>
      <c r="I11" s="21" t="n">
        <v>7</v>
      </c>
      <c r="J11" s="21" t="n">
        <v>0</v>
      </c>
      <c r="K11" s="22">
        <f>IF(H11=0,"—",TEXT(I11/H11,"0%"))</f>
        <v/>
      </c>
      <c r="L11" s="21" t="n">
        <v>1180</v>
      </c>
      <c r="M11" s="22">
        <f>I11*L11</f>
        <v/>
      </c>
      <c r="N11" s="21" t="inlineStr">
        <is>
          <t>開班</t>
        </is>
      </c>
      <c r="O11" s="21" t="inlineStr"/>
    </row>
    <row r="12">
      <c r="A12" s="19" t="inlineStr">
        <is>
          <t>星期五</t>
        </is>
      </c>
      <c r="B12" s="19" t="inlineStr">
        <is>
          <t>18:30–20:30</t>
        </is>
      </c>
      <c r="C12" s="19" t="inlineStr">
        <is>
          <t>DSE 數學</t>
        </is>
      </c>
      <c r="D12" s="19" t="inlineStr">
        <is>
          <t>DSE</t>
        </is>
      </c>
      <c r="E12" s="19" t="inlineStr">
        <is>
          <t>導師A</t>
        </is>
      </c>
      <c r="F12" s="19" t="inlineStr">
        <is>
          <t>課室A</t>
        </is>
      </c>
      <c r="G12" s="19" t="inlineStr">
        <is>
          <t>S4–S6</t>
        </is>
      </c>
      <c r="H12" s="19" t="n">
        <v>12</v>
      </c>
      <c r="I12" s="19" t="n">
        <v>8</v>
      </c>
      <c r="J12" s="19" t="n">
        <v>0</v>
      </c>
      <c r="K12" s="20">
        <f>IF(H12=0,"—",TEXT(I12/H12,"0%"))</f>
        <v/>
      </c>
      <c r="L12" s="19" t="n">
        <v>1180</v>
      </c>
      <c r="M12" s="20">
        <f>I12*L12</f>
        <v/>
      </c>
      <c r="N12" s="19" t="inlineStr">
        <is>
          <t>開班</t>
        </is>
      </c>
      <c r="O12" s="19" t="inlineStr"/>
    </row>
    <row r="13">
      <c r="A13" s="21" t="inlineStr">
        <is>
          <t>星期六</t>
        </is>
      </c>
      <c r="B13" s="21" t="inlineStr">
        <is>
          <t>10:00–12:00</t>
        </is>
      </c>
      <c r="C13" s="21" t="inlineStr">
        <is>
          <t>時間管理習慣班</t>
        </is>
      </c>
      <c r="D13" s="21" t="inlineStr">
        <is>
          <t>習慣養成</t>
        </is>
      </c>
      <c r="E13" s="21" t="inlineStr">
        <is>
          <t>兼職C</t>
        </is>
      </c>
      <c r="F13" s="21" t="inlineStr">
        <is>
          <t>課室B</t>
        </is>
      </c>
      <c r="G13" s="21" t="inlineStr">
        <is>
          <t>P1–S3</t>
        </is>
      </c>
      <c r="H13" s="21" t="n">
        <v>10</v>
      </c>
      <c r="I13" s="21" t="n">
        <v>6</v>
      </c>
      <c r="J13" s="21" t="n">
        <v>0</v>
      </c>
      <c r="K13" s="22">
        <f>IF(H13=0,"—",TEXT(I13/H13,"0%"))</f>
        <v/>
      </c>
      <c r="L13" s="21" t="n">
        <v>680</v>
      </c>
      <c r="M13" s="22">
        <f>I13*L13</f>
        <v/>
      </c>
      <c r="N13" s="21" t="inlineStr">
        <is>
          <t>開班</t>
        </is>
      </c>
      <c r="O13" s="21" t="inlineStr"/>
    </row>
    <row r="14">
      <c r="A14" s="19" t="inlineStr">
        <is>
          <t>星期六</t>
        </is>
      </c>
      <c r="B14" s="19" t="inlineStr">
        <is>
          <t>14:00–16:00</t>
        </is>
      </c>
      <c r="C14" s="19" t="inlineStr">
        <is>
          <t>籃球基礎班</t>
        </is>
      </c>
      <c r="D14" s="19" t="inlineStr">
        <is>
          <t>體育運動</t>
        </is>
      </c>
      <c r="E14" s="19" t="inlineStr">
        <is>
          <t>兼職D</t>
        </is>
      </c>
      <c r="F14" s="19" t="inlineStr">
        <is>
          <t>戶外</t>
        </is>
      </c>
      <c r="G14" s="19" t="inlineStr">
        <is>
          <t>P1–S6</t>
        </is>
      </c>
      <c r="H14" s="19" t="n">
        <v>12</v>
      </c>
      <c r="I14" s="19" t="n">
        <v>8</v>
      </c>
      <c r="J14" s="19" t="n">
        <v>2</v>
      </c>
      <c r="K14" s="20">
        <f>IF(H14=0,"—",TEXT(I14/H14,"0%"))</f>
        <v/>
      </c>
      <c r="L14" s="19" t="n">
        <v>720</v>
      </c>
      <c r="M14" s="20">
        <f>I14*L14</f>
        <v/>
      </c>
      <c r="N14" s="19" t="inlineStr">
        <is>
          <t>開班</t>
        </is>
      </c>
      <c r="O14" s="19" t="inlineStr"/>
    </row>
    <row r="15">
      <c r="A15" s="21" t="inlineStr">
        <is>
          <t>星期日</t>
        </is>
      </c>
      <c r="B15" s="21" t="inlineStr">
        <is>
          <t>10:00–12:00</t>
        </is>
      </c>
      <c r="C15" s="21" t="inlineStr">
        <is>
          <t>專注力學習班</t>
        </is>
      </c>
      <c r="D15" s="21" t="inlineStr">
        <is>
          <t>習慣養成</t>
        </is>
      </c>
      <c r="E15" s="21" t="inlineStr">
        <is>
          <t>兼職C</t>
        </is>
      </c>
      <c r="F15" s="21" t="inlineStr">
        <is>
          <t>課室A</t>
        </is>
      </c>
      <c r="G15" s="21" t="inlineStr">
        <is>
          <t>P1–S3</t>
        </is>
      </c>
      <c r="H15" s="21" t="n">
        <v>10</v>
      </c>
      <c r="I15" s="21" t="n">
        <v>5</v>
      </c>
      <c r="J15" s="21" t="n">
        <v>0</v>
      </c>
      <c r="K15" s="22">
        <f>IF(H15=0,"—",TEXT(I15/H15,"0%"))</f>
        <v/>
      </c>
      <c r="L15" s="21" t="n">
        <v>680</v>
      </c>
      <c r="M15" s="22">
        <f>I15*L15</f>
        <v/>
      </c>
      <c r="N15" s="21" t="inlineStr">
        <is>
          <t>開班</t>
        </is>
      </c>
      <c r="O15" s="21" t="inlineStr"/>
    </row>
    <row r="18">
      <c r="A18" s="14" t="inlineStr">
        <is>
          <t>預估月營收合計</t>
        </is>
      </c>
      <c r="M18" s="11">
        <f>SUM(M6:M15)</f>
        <v/>
      </c>
    </row>
    <row r="19">
      <c r="A19" s="7" t="inlineStr">
        <is>
          <t>總已報人數</t>
        </is>
      </c>
      <c r="I19" s="7">
        <f>SUM(I6:I15)</f>
        <v/>
      </c>
    </row>
  </sheetData>
  <mergeCells count="2">
    <mergeCell ref="A2:N2"/>
    <mergeCell ref="A1:N1"/>
  </mergeCells>
  <conditionalFormatting sqref="K6:K200">
    <cfRule type="expression" priority="1" dxfId="0">
      <formula>IFERROR(I6/H6,0)&gt;=1</formula>
    </cfRule>
    <cfRule type="expression" priority="2" dxfId="2">
      <formula>AND(IFERROR(I6/H6,0)&gt;=0.8,IFERROR(I6/H6,0)&lt;1)</formula>
    </cfRule>
  </conditionalFormatting>
  <dataValidations count="2">
    <dataValidation sqref="D6:D200" showDropDown="0" showInputMessage="0" showErrorMessage="0" allowBlank="1" type="list">
      <formula1>"功課輔導,DSE,習慣養成,體育運動,暑期班,VIP"</formula1>
    </dataValidation>
    <dataValidation sqref="N6:N200" showDropDown="0" showInputMessage="0" showErrorMessage="0" allowBlank="1" type="list">
      <formula1>"開班,滿班,候補,暫停,取消"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6" customWidth="1" min="3" max="3"/>
    <col width="8" customWidth="1" min="4" max="4"/>
    <col width="16" customWidth="1" min="5" max="5"/>
    <col width="8" customWidth="1" min="6" max="6"/>
    <col width="14" customWidth="1" min="7" max="7"/>
    <col width="8" customWidth="1" min="8" max="8"/>
    <col width="9" customWidth="1" min="9" max="9"/>
    <col width="9" customWidth="1" min="10" max="10"/>
    <col width="14" customWidth="1" min="11" max="11"/>
  </cols>
  <sheetData>
    <row r="1">
      <c r="A1" s="1" t="inlineStr">
        <is>
          <t>俊才坊補習社 · 課室使用表</t>
        </is>
      </c>
    </row>
    <row r="2">
      <c r="A2" s="2" t="inlineStr">
        <is>
          <t>每週時段矩陣 · 標示空閒時段供 VIP/興趣班</t>
        </is>
      </c>
    </row>
    <row r="5" ht="30" customHeight="1">
      <c r="A5" s="18" t="inlineStr">
        <is>
          <t>星期</t>
        </is>
      </c>
      <c r="B5" s="18" t="inlineStr">
        <is>
          <t>時段</t>
        </is>
      </c>
      <c r="C5" s="18" t="inlineStr">
        <is>
          <t>課室A</t>
        </is>
      </c>
      <c r="D5" s="18" t="inlineStr">
        <is>
          <t>課室A狀態</t>
        </is>
      </c>
      <c r="E5" s="18" t="inlineStr">
        <is>
          <t>課室B</t>
        </is>
      </c>
      <c r="F5" s="18" t="inlineStr">
        <is>
          <t>課室B狀態</t>
        </is>
      </c>
      <c r="G5" s="18" t="inlineStr">
        <is>
          <t>VIP室</t>
        </is>
      </c>
      <c r="H5" s="18" t="inlineStr">
        <is>
          <t>VIP室狀態</t>
        </is>
      </c>
      <c r="I5" s="18" t="inlineStr">
        <is>
          <t>負責導師</t>
        </is>
      </c>
      <c r="J5" s="18" t="inlineStr">
        <is>
          <t>每呎產值</t>
        </is>
      </c>
      <c r="K5" s="18" t="inlineStr">
        <is>
          <t>備註</t>
        </is>
      </c>
    </row>
    <row r="6">
      <c r="A6" s="19" t="inlineStr">
        <is>
          <t>星期一</t>
        </is>
      </c>
      <c r="B6" s="19" t="inlineStr">
        <is>
          <t>15:30–18:30</t>
        </is>
      </c>
      <c r="C6" s="19" t="inlineStr">
        <is>
          <t>小學功課輔導</t>
        </is>
      </c>
      <c r="D6" s="19" t="inlineStr">
        <is>
          <t>使用中</t>
        </is>
      </c>
      <c r="E6" s="19" t="inlineStr">
        <is>
          <t>中學功課輔導</t>
        </is>
      </c>
      <c r="F6" s="19" t="inlineStr">
        <is>
          <t>使用中</t>
        </is>
      </c>
      <c r="G6" s="19" t="inlineStr">
        <is>
          <t>—</t>
        </is>
      </c>
      <c r="H6" s="19" t="inlineStr">
        <is>
          <t>空閒</t>
        </is>
      </c>
      <c r="I6" s="19" t="inlineStr">
        <is>
          <t>導師A/B</t>
        </is>
      </c>
      <c r="J6" s="20">
        <f>IF(D6="空閒",200,IF(F6="空閒",150,IF(H6="空閒",250,100)))</f>
        <v/>
      </c>
      <c r="K6" s="19" t="inlineStr"/>
    </row>
    <row r="7">
      <c r="A7" s="21" t="inlineStr">
        <is>
          <t>星期一</t>
        </is>
      </c>
      <c r="B7" s="21" t="inlineStr">
        <is>
          <t>18:30–20:30</t>
        </is>
      </c>
      <c r="C7" s="21" t="inlineStr">
        <is>
          <t>DSE英文</t>
        </is>
      </c>
      <c r="D7" s="21" t="inlineStr">
        <is>
          <t>使用中</t>
        </is>
      </c>
      <c r="E7" s="21" t="inlineStr">
        <is>
          <t>—</t>
        </is>
      </c>
      <c r="F7" s="21" t="inlineStr">
        <is>
          <t>空閒</t>
        </is>
      </c>
      <c r="G7" s="21" t="inlineStr">
        <is>
          <t>1對1 VIP</t>
        </is>
      </c>
      <c r="H7" s="21" t="inlineStr">
        <is>
          <t>使用中</t>
        </is>
      </c>
      <c r="I7" s="21" t="inlineStr">
        <is>
          <t>導師A</t>
        </is>
      </c>
      <c r="J7" s="22">
        <f>IF(D7="空閒",200,IF(F7="空閒",150,IF(H7="空閒",250,100)))</f>
        <v/>
      </c>
      <c r="K7" s="21" t="inlineStr"/>
    </row>
    <row r="8">
      <c r="A8" s="19" t="inlineStr">
        <is>
          <t>星期二</t>
        </is>
      </c>
      <c r="B8" s="19" t="inlineStr">
        <is>
          <t>15:30–18:30</t>
        </is>
      </c>
      <c r="C8" s="19" t="inlineStr">
        <is>
          <t>小學功課輔導</t>
        </is>
      </c>
      <c r="D8" s="19" t="inlineStr">
        <is>
          <t>使用中</t>
        </is>
      </c>
      <c r="E8" s="19" t="inlineStr">
        <is>
          <t>中學功課輔導</t>
        </is>
      </c>
      <c r="F8" s="19" t="inlineStr">
        <is>
          <t>使用中</t>
        </is>
      </c>
      <c r="G8" s="19" t="inlineStr">
        <is>
          <t>—</t>
        </is>
      </c>
      <c r="H8" s="19" t="inlineStr">
        <is>
          <t>空閒</t>
        </is>
      </c>
      <c r="I8" s="19" t="inlineStr">
        <is>
          <t>導師A/B</t>
        </is>
      </c>
      <c r="J8" s="20">
        <f>IF(D8="空閒",200,IF(F8="空閒",150,IF(H8="空閒",250,100)))</f>
        <v/>
      </c>
      <c r="K8" s="19" t="inlineStr"/>
    </row>
    <row r="9">
      <c r="A9" s="21" t="inlineStr">
        <is>
          <t>星期三</t>
        </is>
      </c>
      <c r="B9" s="21" t="inlineStr">
        <is>
          <t>15:30–18:30</t>
        </is>
      </c>
      <c r="C9" s="21" t="inlineStr">
        <is>
          <t>小學功課輔導</t>
        </is>
      </c>
      <c r="D9" s="21" t="inlineStr">
        <is>
          <t>使用中</t>
        </is>
      </c>
      <c r="E9" s="21" t="inlineStr">
        <is>
          <t>—</t>
        </is>
      </c>
      <c r="F9" s="21" t="inlineStr">
        <is>
          <t>空閒</t>
        </is>
      </c>
      <c r="G9" s="21" t="inlineStr">
        <is>
          <t>—</t>
        </is>
      </c>
      <c r="H9" s="21" t="inlineStr">
        <is>
          <t>空閒</t>
        </is>
      </c>
      <c r="I9" s="21" t="inlineStr">
        <is>
          <t>導師A</t>
        </is>
      </c>
      <c r="J9" s="22">
        <f>IF(D9="空閒",200,IF(F9="空閒",150,IF(H9="空閒",250,100)))</f>
        <v/>
      </c>
      <c r="K9" s="21" t="inlineStr">
        <is>
          <t>B室可用</t>
        </is>
      </c>
    </row>
    <row r="10">
      <c r="A10" s="19" t="inlineStr">
        <is>
          <t>星期六</t>
        </is>
      </c>
      <c r="B10" s="19" t="inlineStr">
        <is>
          <t>10:00–12:00</t>
        </is>
      </c>
      <c r="C10" s="19" t="inlineStr">
        <is>
          <t>—</t>
        </is>
      </c>
      <c r="D10" s="19" t="inlineStr">
        <is>
          <t>空閒</t>
        </is>
      </c>
      <c r="E10" s="19" t="inlineStr">
        <is>
          <t>習慣班</t>
        </is>
      </c>
      <c r="F10" s="19" t="inlineStr">
        <is>
          <t>使用中</t>
        </is>
      </c>
      <c r="G10" s="19" t="inlineStr">
        <is>
          <t>—</t>
        </is>
      </c>
      <c r="H10" s="19" t="inlineStr">
        <is>
          <t>空閒</t>
        </is>
      </c>
      <c r="I10" s="19" t="inlineStr">
        <is>
          <t>兼職C</t>
        </is>
      </c>
      <c r="J10" s="20">
        <f>IF(D10="空閒",200,IF(F10="空閒",150,IF(H10="空閒",250,100)))</f>
        <v/>
      </c>
      <c r="K10" s="19" t="inlineStr"/>
    </row>
    <row r="11">
      <c r="A11" s="21" t="inlineStr">
        <is>
          <t>星期六</t>
        </is>
      </c>
      <c r="B11" s="21" t="inlineStr">
        <is>
          <t>14:00–18:00</t>
        </is>
      </c>
      <c r="C11" s="21" t="inlineStr">
        <is>
          <t>—</t>
        </is>
      </c>
      <c r="D11" s="21" t="inlineStr">
        <is>
          <t>空閒</t>
        </is>
      </c>
      <c r="E11" s="21" t="inlineStr">
        <is>
          <t>—</t>
        </is>
      </c>
      <c r="F11" s="21" t="inlineStr">
        <is>
          <t>空閒</t>
        </is>
      </c>
      <c r="G11" s="21" t="inlineStr">
        <is>
          <t>1對2 數學</t>
        </is>
      </c>
      <c r="H11" s="21" t="inlineStr">
        <is>
          <t>使用中</t>
        </is>
      </c>
      <c r="I11" s="21" t="inlineStr">
        <is>
          <t>兼職D</t>
        </is>
      </c>
      <c r="J11" s="22">
        <f>IF(D11="空閒",200,IF(F11="空閒",150,IF(H11="空閒",250,100)))</f>
        <v/>
      </c>
      <c r="K11" s="21" t="inlineStr">
        <is>
          <t>週末VIP</t>
        </is>
      </c>
    </row>
    <row r="14">
      <c r="A14" s="14" t="inlineStr">
        <is>
          <t>空閒時段統計</t>
        </is>
      </c>
      <c r="B14" s="7">
        <f>COUNTIF(D6:D11,"空閒")+COUNTIF(F6:F11,"空閒")+COUNTIF(H6:H11,"空閒")</f>
        <v/>
      </c>
      <c r="C14" s="3" t="inlineStr">
        <is>
          <t>個空閒時段可供 VIP / 興趣班使用</t>
        </is>
      </c>
    </row>
  </sheetData>
  <mergeCells count="2">
    <mergeCell ref="A1:J1"/>
    <mergeCell ref="A2:J2"/>
  </mergeCells>
  <conditionalFormatting sqref="D6:D200">
    <cfRule type="expression" priority="1" dxfId="3">
      <formula>$D6="空閒"</formula>
    </cfRule>
  </conditionalFormatting>
  <conditionalFormatting sqref="F6:F200">
    <cfRule type="expression" priority="2" dxfId="3">
      <formula>$F6="空閒"</formula>
    </cfRule>
  </conditionalFormatting>
  <conditionalFormatting sqref="H6:H200">
    <cfRule type="expression" priority="3" dxfId="3">
      <formula>$H6="空閒"</formula>
    </cfRule>
  </conditionalFormatting>
  <dataValidations count="3">
    <dataValidation sqref="D6:D200" showDropDown="0" showInputMessage="0" showErrorMessage="0" allowBlank="1" type="list">
      <formula1>"使用中,空閒,清潔中,維修"</formula1>
    </dataValidation>
    <dataValidation sqref="F6:F200" showDropDown="0" showInputMessage="0" showErrorMessage="0" allowBlank="1" type="list">
      <formula1>"使用中,空閒,清潔中,維修"</formula1>
    </dataValidation>
    <dataValidation sqref="H6:H200" showDropDown="0" showInputMessage="0" showErrorMessage="0" allowBlank="1" type="list">
      <formula1>"使用中,空閒,清潔中,維修"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8" customWidth="1" min="3" max="3"/>
    <col width="10" customWidth="1" min="4" max="4"/>
    <col width="8" customWidth="1" min="5" max="5"/>
    <col width="9" customWidth="1" min="6" max="6"/>
    <col width="9" customWidth="1" min="7" max="7"/>
    <col width="7" customWidth="1" min="8" max="8"/>
    <col width="7" customWidth="1" min="9" max="9"/>
    <col width="7" customWidth="1" min="10" max="10"/>
    <col width="7" customWidth="1" min="11" max="11"/>
    <col width="10" customWidth="1" min="12" max="12"/>
    <col width="10" customWidth="1" min="13" max="13"/>
    <col width="8" customWidth="1" min="14" max="14"/>
    <col width="9" customWidth="1" min="15" max="15"/>
    <col width="14" customWidth="1" min="16" max="16"/>
  </cols>
  <sheetData>
    <row r="1">
      <c r="A1" s="1" t="inlineStr">
        <is>
          <t>俊才坊補習社 · 財務月結表</t>
        </is>
      </c>
    </row>
    <row r="2">
      <c r="A2" s="2" t="inlineStr">
        <is>
          <t>自動計算總成本、淨利、淨利率及目標達成率</t>
        </is>
      </c>
    </row>
    <row r="5" ht="30" customHeight="1">
      <c r="A5" s="18" t="inlineStr">
        <is>
          <t>月份</t>
        </is>
      </c>
      <c r="B5" s="18" t="inlineStr">
        <is>
          <t>學生數</t>
        </is>
      </c>
      <c r="C5" s="18" t="inlineStr">
        <is>
          <t>ARPU</t>
        </is>
      </c>
      <c r="D5" s="18" t="inlineStr">
        <is>
          <t>月營收</t>
        </is>
      </c>
      <c r="E5" s="18" t="inlineStr">
        <is>
          <t>租金</t>
        </is>
      </c>
      <c r="F5" s="18" t="inlineStr">
        <is>
          <t>全職導師</t>
        </is>
      </c>
      <c r="G5" s="18" t="inlineStr">
        <is>
          <t>兼職導師</t>
        </is>
      </c>
      <c r="H5" s="18" t="inlineStr">
        <is>
          <t>水電</t>
        </is>
      </c>
      <c r="I5" s="18" t="inlineStr">
        <is>
          <t>雜費</t>
        </is>
      </c>
      <c r="J5" s="18" t="inlineStr">
        <is>
          <t>推廣</t>
        </is>
      </c>
      <c r="K5" s="18" t="inlineStr">
        <is>
          <t>其他</t>
        </is>
      </c>
      <c r="L5" s="18" t="inlineStr">
        <is>
          <t>總成本</t>
        </is>
      </c>
      <c r="M5" s="18" t="inlineStr">
        <is>
          <t>月淨利</t>
        </is>
      </c>
      <c r="N5" s="18" t="inlineStr">
        <is>
          <t>淨利率</t>
        </is>
      </c>
      <c r="O5" s="18" t="inlineStr">
        <is>
          <t>目標達成率</t>
        </is>
      </c>
      <c r="P5" s="18" t="inlineStr">
        <is>
          <t>備註</t>
        </is>
      </c>
    </row>
    <row r="6">
      <c r="A6" s="19" t="inlineStr">
        <is>
          <t>2026-06</t>
        </is>
      </c>
      <c r="B6" s="19" t="n">
        <v>50</v>
      </c>
      <c r="C6" s="19" t="n">
        <v>3000</v>
      </c>
      <c r="D6" s="19" t="n">
        <v>150000</v>
      </c>
      <c r="E6" s="19" t="n">
        <v>40000</v>
      </c>
      <c r="F6" s="19" t="n">
        <v>45000</v>
      </c>
      <c r="G6" s="19" t="n">
        <v>12000</v>
      </c>
      <c r="H6" s="19" t="n">
        <v>5500</v>
      </c>
      <c r="I6" s="19" t="n">
        <v>5000</v>
      </c>
      <c r="J6" s="19" t="n">
        <v>3000</v>
      </c>
      <c r="K6" s="19" t="n">
        <v>0</v>
      </c>
      <c r="L6" s="20">
        <f>SUM(E6:K6)</f>
        <v/>
      </c>
      <c r="M6" s="20">
        <f>D6-L6</f>
        <v/>
      </c>
      <c r="N6" s="20">
        <f>IF(D6=0,"—",TEXT(M6/D6,"0%"))</f>
        <v/>
      </c>
      <c r="O6" s="20">
        <f>IFERROR(M6/82000,"—")</f>
        <v/>
      </c>
      <c r="P6" s="19" t="inlineStr">
        <is>
          <t>接手首月</t>
        </is>
      </c>
    </row>
    <row r="7">
      <c r="A7" s="21" t="inlineStr">
        <is>
          <t>2026-07</t>
        </is>
      </c>
      <c r="B7" s="21" t="n">
        <v>65</v>
      </c>
      <c r="C7" s="21" t="n">
        <v>3231</v>
      </c>
      <c r="D7" s="21" t="n">
        <v>210000</v>
      </c>
      <c r="E7" s="21" t="n">
        <v>35000</v>
      </c>
      <c r="F7" s="21" t="n">
        <v>45000</v>
      </c>
      <c r="G7" s="21" t="n">
        <v>20000</v>
      </c>
      <c r="H7" s="21" t="n">
        <v>6000</v>
      </c>
      <c r="I7" s="21" t="n">
        <v>5000</v>
      </c>
      <c r="J7" s="21" t="n">
        <v>5000</v>
      </c>
      <c r="K7" s="21" t="n">
        <v>0</v>
      </c>
      <c r="L7" s="22">
        <f>SUM(E7:K7)</f>
        <v/>
      </c>
      <c r="M7" s="22">
        <f>D7-L7</f>
        <v/>
      </c>
      <c r="N7" s="22">
        <f>IF(D7=0,"—",TEXT(M7/D7,"0%"))</f>
        <v/>
      </c>
      <c r="O7" s="22">
        <f>IFERROR(M7/82000,"—")</f>
        <v/>
      </c>
      <c r="P7" s="21" t="inlineStr">
        <is>
          <t>暑假高峰</t>
        </is>
      </c>
    </row>
    <row r="8">
      <c r="A8" s="19" t="inlineStr">
        <is>
          <t>2026-08</t>
        </is>
      </c>
      <c r="B8" s="19" t="n">
        <v>70</v>
      </c>
      <c r="C8" s="19" t="n">
        <v>3500</v>
      </c>
      <c r="D8" s="19" t="n">
        <v>245000</v>
      </c>
      <c r="E8" s="19" t="n">
        <v>35000</v>
      </c>
      <c r="F8" s="19" t="n">
        <v>45000</v>
      </c>
      <c r="G8" s="19" t="n">
        <v>22000</v>
      </c>
      <c r="H8" s="19" t="n">
        <v>6000</v>
      </c>
      <c r="I8" s="19" t="n">
        <v>5000</v>
      </c>
      <c r="J8" s="19" t="n">
        <v>3000</v>
      </c>
      <c r="K8" s="19" t="n">
        <v>0</v>
      </c>
      <c r="L8" s="20">
        <f>SUM(E8:K8)</f>
        <v/>
      </c>
      <c r="M8" s="20">
        <f>D8-L8</f>
        <v/>
      </c>
      <c r="N8" s="20">
        <f>IF(D8=0,"—",TEXT(M8/D8,"0%"))</f>
        <v/>
      </c>
      <c r="O8" s="20">
        <f>IFERROR(M8/82000,"—")</f>
        <v/>
      </c>
      <c r="P8" s="19" t="inlineStr">
        <is>
          <t>暑假高峰</t>
        </is>
      </c>
    </row>
    <row r="9">
      <c r="A9" s="21" t="inlineStr">
        <is>
          <t>2026-09</t>
        </is>
      </c>
      <c r="B9" s="21" t="n">
        <v>60</v>
      </c>
      <c r="C9" s="21" t="n">
        <v>3200</v>
      </c>
      <c r="D9" s="21" t="n">
        <v>192000</v>
      </c>
      <c r="E9" s="21" t="n">
        <v>35000</v>
      </c>
      <c r="F9" s="21" t="n">
        <v>45000</v>
      </c>
      <c r="G9" s="21" t="n">
        <v>15000</v>
      </c>
      <c r="H9" s="21" t="n">
        <v>5500</v>
      </c>
      <c r="I9" s="21" t="n">
        <v>5000</v>
      </c>
      <c r="J9" s="21" t="n">
        <v>3000</v>
      </c>
      <c r="K9" s="21" t="n">
        <v>0</v>
      </c>
      <c r="L9" s="22">
        <f>SUM(E9:K9)</f>
        <v/>
      </c>
      <c r="M9" s="22">
        <f>D9-L9</f>
        <v/>
      </c>
      <c r="N9" s="22">
        <f>IF(D9=0,"—",TEXT(M9/D9,"0%"))</f>
        <v/>
      </c>
      <c r="O9" s="22">
        <f>IFERROR(M9/82000,"—")</f>
        <v/>
      </c>
      <c r="P9" s="21" t="inlineStr">
        <is>
          <t>新學期</t>
        </is>
      </c>
    </row>
    <row r="12">
      <c r="A12" s="14" t="inlineStr">
        <is>
          <t>年度累積淨利</t>
        </is>
      </c>
      <c r="M12" s="11">
        <f>SUM(M6:M9)</f>
        <v/>
      </c>
    </row>
    <row r="13">
      <c r="A13" s="7" t="inlineStr">
        <is>
          <t>平均月淨利</t>
        </is>
      </c>
      <c r="M13" s="27">
        <f>AVERAGE(M6:M9)</f>
        <v/>
      </c>
    </row>
    <row r="14">
      <c r="A14" s="7" t="inlineStr">
        <is>
          <t>最佳月份淨利</t>
        </is>
      </c>
      <c r="M14" s="28">
        <f>MAX(M6:M9)</f>
        <v/>
      </c>
    </row>
  </sheetData>
  <mergeCells count="2">
    <mergeCell ref="A1:P1"/>
    <mergeCell ref="A2:P2"/>
  </mergeCells>
  <conditionalFormatting sqref="M6:M200">
    <cfRule type="expression" priority="1" dxfId="3">
      <formula>M6&gt;=82000</formula>
    </cfRule>
    <cfRule type="expression" priority="2" dxfId="2">
      <formula>AND(M6&lt;82000,M6&gt;=40000)</formula>
    </cfRule>
    <cfRule type="expression" priority="3" dxfId="0">
      <formula>M6&lt;40000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9" customWidth="1" min="3" max="3"/>
    <col width="14" customWidth="1" min="4" max="4"/>
    <col width="8" customWidth="1" min="5" max="5"/>
    <col width="10" customWidth="1" min="6" max="6"/>
    <col width="9" customWidth="1" min="7" max="7"/>
    <col width="9" customWidth="1" min="8" max="8"/>
    <col width="8" customWidth="1" min="9" max="9"/>
    <col width="16" customWidth="1" min="10" max="10"/>
    <col width="12" customWidth="1" min="11" max="11"/>
    <col width="16" customWidth="1" min="12" max="12"/>
    <col width="30" customWidth="1" min="13" max="13"/>
    <col width="7" customWidth="1" min="14" max="14"/>
  </cols>
  <sheetData>
    <row r="1">
      <c r="A1" s="1" t="inlineStr">
        <is>
          <t>俊才坊補習社 · 學習進度報告</t>
        </is>
      </c>
    </row>
    <row r="2">
      <c r="A2" s="2" t="inlineStr">
        <is>
          <t>自動生成 WhatsApp 進度訊息 · 每月發送家長</t>
        </is>
      </c>
    </row>
    <row r="5" ht="30" customHeight="1">
      <c r="A5" s="18" t="inlineStr">
        <is>
          <t>月份</t>
        </is>
      </c>
      <c r="B5" s="18" t="inlineStr">
        <is>
          <t>學號</t>
        </is>
      </c>
      <c r="C5" s="18" t="inlineStr">
        <is>
          <t>學生姓名</t>
        </is>
      </c>
      <c r="D5" s="18" t="inlineStr">
        <is>
          <t>課程</t>
        </is>
      </c>
      <c r="E5" s="18" t="inlineStr">
        <is>
          <t>出席率</t>
        </is>
      </c>
      <c r="F5" s="18" t="inlineStr">
        <is>
          <t>功課完成率</t>
        </is>
      </c>
      <c r="G5" s="18" t="inlineStr">
        <is>
          <t>測驗分數</t>
        </is>
      </c>
      <c r="H5" s="18" t="inlineStr">
        <is>
          <t>上次分數</t>
        </is>
      </c>
      <c r="I5" s="18" t="inlineStr">
        <is>
          <t>進步幅度</t>
        </is>
      </c>
      <c r="J5" s="18" t="inlineStr">
        <is>
          <t>進步重點</t>
        </is>
      </c>
      <c r="K5" s="18" t="inlineStr">
        <is>
          <t>待改善</t>
        </is>
      </c>
      <c r="L5" s="18" t="inlineStr">
        <is>
          <t>導師評語</t>
        </is>
      </c>
      <c r="M5" s="18" t="inlineStr">
        <is>
          <t>WhatsApp訊息</t>
        </is>
      </c>
      <c r="N5" s="18" t="inlineStr">
        <is>
          <t>已發送</t>
        </is>
      </c>
    </row>
    <row r="6">
      <c r="A6" s="19" t="inlineStr">
        <is>
          <t>2026-06</t>
        </is>
      </c>
      <c r="B6" s="19" t="inlineStr">
        <is>
          <t>S001</t>
        </is>
      </c>
      <c r="C6" s="20">
        <f>IFERROR(VLOOKUP(B6,學生資料庫!$A$6:$B$200,2,FALSE),"")</f>
        <v/>
      </c>
      <c r="D6" s="20">
        <f>IFERROR(VLOOKUP(B6,學生資料庫!$A$6:$F$200,6,FALSE),"")</f>
        <v/>
      </c>
      <c r="E6" s="19" t="inlineStr">
        <is>
          <t>95%</t>
        </is>
      </c>
      <c r="F6" s="19" t="inlineStr">
        <is>
          <t>90%</t>
        </is>
      </c>
      <c r="G6" s="19" t="n">
        <v>78</v>
      </c>
      <c r="H6" s="19" t="n">
        <v>72</v>
      </c>
      <c r="I6" s="20">
        <f>IF(OR(G6="",H6=""),"—",G6-H6)</f>
        <v/>
      </c>
      <c r="J6" s="19" t="inlineStr">
        <is>
          <t>數學應用題進步</t>
        </is>
      </c>
      <c r="K6" s="19" t="inlineStr">
        <is>
          <t>中文造句</t>
        </is>
      </c>
      <c r="L6" s="19" t="inlineStr">
        <is>
          <t>表現穩定，繼續保持</t>
        </is>
      </c>
      <c r="M6" s="20">
        <f>"【俊才坊學習進度】"&amp;C6&amp;"同學 "&amp;A6&amp;" 報告："&amp;CHAR(10)&amp;"出席率："&amp;E6&amp;"  功課："&amp;F6&amp;CHAR(10)&amp;"測驗："&amp;G6&amp;"分  進步："&amp;J6&amp;"  待改善："&amp;K6&amp;CHAR(10)&amp;"導師評語："&amp;L6</f>
        <v/>
      </c>
      <c r="N6" s="19" t="inlineStr">
        <is>
          <t>✓</t>
        </is>
      </c>
    </row>
    <row r="7">
      <c r="A7" s="21" t="inlineStr">
        <is>
          <t>2026-06</t>
        </is>
      </c>
      <c r="B7" s="21" t="inlineStr">
        <is>
          <t>S002</t>
        </is>
      </c>
      <c r="C7" s="22">
        <f>IFERROR(VLOOKUP(B7,學生資料庫!$A$6:$B$200,2,FALSE),"")</f>
        <v/>
      </c>
      <c r="D7" s="22">
        <f>IFERROR(VLOOKUP(B7,學生資料庫!$A$6:$F$200,6,FALSE),"")</f>
        <v/>
      </c>
      <c r="E7" s="21" t="inlineStr">
        <is>
          <t>88%</t>
        </is>
      </c>
      <c r="F7" s="21" t="inlineStr">
        <is>
          <t>85%</t>
        </is>
      </c>
      <c r="G7" s="21" t="n">
        <v>72</v>
      </c>
      <c r="H7" s="21" t="n">
        <v>68</v>
      </c>
      <c r="I7" s="22">
        <f>IF(OR(G7="",H7=""),"—",G7-H7)</f>
        <v/>
      </c>
      <c r="J7" s="21" t="inlineStr">
        <is>
          <t>閱讀理解提升</t>
        </is>
      </c>
      <c r="K7" s="21" t="inlineStr">
        <is>
          <t>寫作結構</t>
        </is>
      </c>
      <c r="L7" s="21" t="inlineStr">
        <is>
          <t>需加強 Past Paper 操練</t>
        </is>
      </c>
      <c r="M7" s="22">
        <f>"【俊才坊學習進度】"&amp;C7&amp;"同學 "&amp;A7&amp;" 報告："&amp;CHAR(10)&amp;"出席率："&amp;E7&amp;"  功課："&amp;F7&amp;CHAR(10)&amp;"測驗："&amp;G7&amp;"分  進步："&amp;J7&amp;"  待改善："&amp;K7&amp;CHAR(10)&amp;"導師評語："&amp;L7</f>
        <v/>
      </c>
      <c r="N7" s="21" t="inlineStr">
        <is>
          <t>✓</t>
        </is>
      </c>
    </row>
    <row r="8">
      <c r="A8" s="19" t="inlineStr">
        <is>
          <t>2026-06</t>
        </is>
      </c>
      <c r="B8" s="19" t="inlineStr">
        <is>
          <t>S003</t>
        </is>
      </c>
      <c r="C8" s="20">
        <f>IFERROR(VLOOKUP(B8,學生資料庫!$A$6:$B$200,2,FALSE),"")</f>
        <v/>
      </c>
      <c r="D8" s="20">
        <f>IFERROR(VLOOKUP(B8,學生資料庫!$A$6:$F$200,6,FALSE),"")</f>
        <v/>
      </c>
      <c r="E8" s="19" t="inlineStr">
        <is>
          <t>70%</t>
        </is>
      </c>
      <c r="F8" s="19" t="inlineStr">
        <is>
          <t>60%</t>
        </is>
      </c>
      <c r="G8" s="19" t="n">
        <v>55</v>
      </c>
      <c r="H8" s="19" t="n">
        <v>58</v>
      </c>
      <c r="I8" s="20">
        <f>IF(OR(G8="",H8=""),"—",G8-H8)</f>
        <v/>
      </c>
      <c r="J8" s="19" t="inlineStr">
        <is>
          <t>—</t>
        </is>
      </c>
      <c r="K8" s="19" t="inlineStr">
        <is>
          <t>出席率偏低</t>
        </is>
      </c>
      <c r="L8" s="19" t="inlineStr">
        <is>
          <t>請家長協助督促出席</t>
        </is>
      </c>
      <c r="M8" s="20">
        <f>"【俊才坊學習進度】"&amp;C8&amp;"同學 "&amp;A8&amp;" 報告："&amp;CHAR(10)&amp;"出席率："&amp;E8&amp;"  功課："&amp;F8&amp;CHAR(10)&amp;"測驗："&amp;G8&amp;"分  進步："&amp;J8&amp;"  待改善："&amp;K8&amp;CHAR(10)&amp;"導師評語："&amp;L8</f>
        <v/>
      </c>
      <c r="N8" s="19" t="inlineStr">
        <is>
          <t>✗</t>
        </is>
      </c>
    </row>
  </sheetData>
  <mergeCells count="2">
    <mergeCell ref="A2:N2"/>
    <mergeCell ref="A1:N1"/>
  </mergeCells>
  <conditionalFormatting sqref="E6:E200">
    <cfRule type="expression" priority="1" dxfId="1">
      <formula>VALUE(LEFT(E6,LEN(E6)-1))&lt;80</formula>
    </cfRule>
  </conditionalFormatting>
  <conditionalFormatting sqref="I6:I200">
    <cfRule type="expression" priority="2" dxfId="0">
      <formula>I6&lt;0</formula>
    </cfRule>
    <cfRule type="expression" priority="3" dxfId="3">
      <formula>I6&gt;=5</formula>
    </cfRule>
  </conditionalFormatting>
  <dataValidations count="1">
    <dataValidation sqref="N6:N200" showDropDown="0" showInputMessage="0" showErrorMessage="0" allowBlank="1" type="list">
      <formula1>"✓,✗"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7" customWidth="1" min="3" max="3"/>
    <col width="8" customWidth="1" min="4" max="4"/>
    <col width="8" customWidth="1" min="5" max="5"/>
    <col width="12" customWidth="1" min="6" max="6"/>
    <col width="16" customWidth="1" min="7" max="7"/>
  </cols>
  <sheetData>
    <row r="1">
      <c r="A1" s="1" t="inlineStr">
        <is>
          <t>俊才坊補習社 · 每日行政檢查表</t>
        </is>
      </c>
    </row>
    <row r="2">
      <c r="A2" s="2" t="inlineStr">
        <is>
          <t>按時段執行 · 自動計算完成率</t>
        </is>
      </c>
    </row>
    <row r="4">
      <c r="A4" s="7" t="inlineStr">
        <is>
          <t>日期：</t>
        </is>
      </c>
      <c r="B4" s="14" t="inlineStr">
        <is>
          <t>2026-06-11</t>
        </is>
      </c>
      <c r="D4" s="7" t="inlineStr">
        <is>
          <t>完成率：</t>
        </is>
      </c>
      <c r="E4" s="1">
        <f>IFERROR(TEXT(COUNTIF(C6:C25,"✓")/COUNTA(C6:C25),"0%"),"0%")</f>
        <v/>
      </c>
    </row>
    <row r="5" ht="30" customHeight="1">
      <c r="A5" s="18" t="inlineStr">
        <is>
          <t>時段</t>
        </is>
      </c>
      <c r="B5" s="18" t="inlineStr">
        <is>
          <t>任務</t>
        </is>
      </c>
      <c r="C5" s="18" t="inlineStr">
        <is>
          <t>完成?</t>
        </is>
      </c>
      <c r="D5" s="18" t="inlineStr">
        <is>
          <t>用時(分)</t>
        </is>
      </c>
      <c r="E5" s="18" t="inlineStr">
        <is>
          <t>負責人</t>
        </is>
      </c>
      <c r="F5" s="18" t="inlineStr">
        <is>
          <t>相關工作表</t>
        </is>
      </c>
      <c r="G5" s="18" t="inlineStr">
        <is>
          <t>備註</t>
        </is>
      </c>
    </row>
    <row r="6">
      <c r="A6" s="19" t="inlineStr">
        <is>
          <t>🌅 早上</t>
        </is>
      </c>
      <c r="B6" s="19" t="inlineStr">
        <is>
          <t>確認當日課表，WhatsApp 通知所有導師</t>
        </is>
      </c>
      <c r="C6" s="19" t="inlineStr"/>
      <c r="D6" s="19" t="inlineStr"/>
      <c r="E6" s="19" t="inlineStr">
        <is>
          <t>營運者</t>
        </is>
      </c>
      <c r="F6" s="19" t="inlineStr">
        <is>
          <t>排課表</t>
        </is>
      </c>
      <c r="G6" s="19" t="inlineStr"/>
    </row>
    <row r="7">
      <c r="A7" s="21" t="inlineStr">
        <is>
          <t>🌅 早上</t>
        </is>
      </c>
      <c r="B7" s="21" t="inlineStr">
        <is>
          <t>檢查收費記錄，列出欠費名單並標記</t>
        </is>
      </c>
      <c r="C7" s="21" t="inlineStr"/>
      <c r="D7" s="21" t="inlineStr"/>
      <c r="E7" s="21" t="inlineStr">
        <is>
          <t>營運者</t>
        </is>
      </c>
      <c r="F7" s="21" t="inlineStr">
        <is>
          <t>收費記錄</t>
        </is>
      </c>
      <c r="G7" s="21" t="inlineStr"/>
    </row>
    <row r="8">
      <c r="A8" s="19" t="inlineStr">
        <is>
          <t>🌅 早上</t>
        </is>
      </c>
      <c r="B8" s="19" t="inlineStr">
        <is>
          <t>回覆家長 WhatsApp 查詢（30分鐘內）</t>
        </is>
      </c>
      <c r="C8" s="19" t="inlineStr"/>
      <c r="D8" s="19" t="inlineStr"/>
      <c r="E8" s="19" t="inlineStr">
        <is>
          <t>營運者</t>
        </is>
      </c>
      <c r="F8" s="19" t="inlineStr">
        <is>
          <t>家長通訊</t>
        </is>
      </c>
      <c r="G8" s="19" t="inlineStr"/>
    </row>
    <row r="9">
      <c r="A9" s="21" t="inlineStr">
        <is>
          <t>☀️ 下午</t>
        </is>
      </c>
      <c r="B9" s="21" t="inlineStr">
        <is>
          <t>學生到達點名，記錄出席狀態</t>
        </is>
      </c>
      <c r="C9" s="21" t="inlineStr"/>
      <c r="D9" s="21" t="inlineStr"/>
      <c r="E9" s="21" t="inlineStr">
        <is>
          <t>導師/營運者</t>
        </is>
      </c>
      <c r="F9" s="21" t="inlineStr">
        <is>
          <t>出席記錄</t>
        </is>
      </c>
      <c r="G9" s="21" t="inlineStr"/>
    </row>
    <row r="10">
      <c r="A10" s="19" t="inlineStr">
        <is>
          <t>☀️ 下午</t>
        </is>
      </c>
      <c r="B10" s="19" t="inlineStr">
        <is>
          <t>確保課室整潔、教材準備充足</t>
        </is>
      </c>
      <c r="C10" s="19" t="inlineStr"/>
      <c r="D10" s="19" t="inlineStr"/>
      <c r="E10" s="19" t="inlineStr">
        <is>
          <t>導師</t>
        </is>
      </c>
      <c r="F10" s="19" t="inlineStr">
        <is>
          <t>課室使用表</t>
        </is>
      </c>
      <c r="G10" s="19" t="inlineStr"/>
    </row>
    <row r="11">
      <c r="A11" s="21" t="inlineStr">
        <is>
          <t>☀️ 下午</t>
        </is>
      </c>
      <c r="B11" s="21" t="inlineStr">
        <is>
          <t>處理即時家長查詢並記錄</t>
        </is>
      </c>
      <c r="C11" s="21" t="inlineStr"/>
      <c r="D11" s="21" t="inlineStr"/>
      <c r="E11" s="21" t="inlineStr">
        <is>
          <t>營運者</t>
        </is>
      </c>
      <c r="F11" s="21" t="inlineStr">
        <is>
          <t>家長通訊</t>
        </is>
      </c>
      <c r="G11" s="21" t="inlineStr"/>
    </row>
    <row r="12">
      <c r="A12" s="19" t="inlineStr">
        <is>
          <t>🌙 晚上</t>
        </is>
      </c>
      <c r="B12" s="19" t="inlineStr">
        <is>
          <t>更新出席記錄（遲到/缺席/功課）</t>
        </is>
      </c>
      <c r="C12" s="19" t="inlineStr"/>
      <c r="D12" s="19" t="inlineStr"/>
      <c r="E12" s="19" t="inlineStr">
        <is>
          <t>營運者</t>
        </is>
      </c>
      <c r="F12" s="19" t="inlineStr">
        <is>
          <t>出席記錄</t>
        </is>
      </c>
      <c r="G12" s="19" t="inlineStr"/>
    </row>
    <row r="13">
      <c r="A13" s="21" t="inlineStr">
        <is>
          <t>🌙 晚上</t>
        </is>
      </c>
      <c r="B13" s="21" t="inlineStr">
        <is>
          <t>核對當日收款，記入收費記錄</t>
        </is>
      </c>
      <c r="C13" s="21" t="inlineStr"/>
      <c r="D13" s="21" t="inlineStr"/>
      <c r="E13" s="21" t="inlineStr">
        <is>
          <t>營運者</t>
        </is>
      </c>
      <c r="F13" s="21" t="inlineStr">
        <is>
          <t>收費記錄</t>
        </is>
      </c>
      <c r="G13" s="21" t="inlineStr"/>
    </row>
    <row r="14">
      <c r="A14" s="19" t="inlineStr">
        <is>
          <t>🌙 晚上</t>
        </is>
      </c>
      <c r="B14" s="19" t="inlineStr">
        <is>
          <t>規劃翌日課堂，補課提前通知家長</t>
        </is>
      </c>
      <c r="C14" s="19" t="inlineStr"/>
      <c r="D14" s="19" t="inlineStr"/>
      <c r="E14" s="19" t="inlineStr">
        <is>
          <t>營運者</t>
        </is>
      </c>
      <c r="F14" s="19" t="inlineStr">
        <is>
          <t>排課表</t>
        </is>
      </c>
      <c r="G14" s="19" t="inlineStr"/>
    </row>
    <row r="15">
      <c r="A15" s="21" t="inlineStr">
        <is>
          <t>🌙 晚上</t>
        </is>
      </c>
      <c r="B15" s="21" t="inlineStr">
        <is>
          <t>更新學習進度備註（如有測驗/測驗）</t>
        </is>
      </c>
      <c r="C15" s="21" t="inlineStr"/>
      <c r="D15" s="21" t="inlineStr"/>
      <c r="E15" s="21" t="inlineStr">
        <is>
          <t>導師</t>
        </is>
      </c>
      <c r="F15" s="21" t="inlineStr">
        <is>
          <t>學習進度</t>
        </is>
      </c>
      <c r="G15" s="21" t="inlineStr"/>
    </row>
  </sheetData>
  <mergeCells count="2">
    <mergeCell ref="A2:H2"/>
    <mergeCell ref="A1:H1"/>
  </mergeCells>
  <dataValidations count="2">
    <dataValidation sqref="C6:C200" showDropDown="0" showInputMessage="0" showErrorMessage="0" allowBlank="1" type="list">
      <formula1>"✓,✗,—,進行中"</formula1>
    </dataValidation>
    <dataValidation sqref="E6:E200" showDropDown="0" showInputMessage="0" showErrorMessage="0" allowBlank="1" type="list">
      <formula1>"營運者,導師A,導師B,兼職"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9" customWidth="1" min="3" max="3"/>
    <col width="9" customWidth="1" min="4" max="4"/>
    <col width="10" customWidth="1" min="5" max="5"/>
    <col width="7" customWidth="1" min="6" max="6"/>
    <col width="22" customWidth="1" min="7" max="7"/>
    <col width="9" customWidth="1" min="8" max="8"/>
    <col width="10" customWidth="1" min="9" max="9"/>
    <col width="11" customWidth="1" min="10" max="10"/>
    <col width="6" customWidth="1" min="11" max="11"/>
    <col width="8" customWidth="1" min="12" max="12"/>
    <col width="14" customWidth="1" min="13" max="13"/>
  </cols>
  <sheetData>
    <row r="1">
      <c r="A1" s="1" t="inlineStr">
        <is>
          <t>俊才坊補習社 · 家長通訊記錄</t>
        </is>
      </c>
    </row>
    <row r="2">
      <c r="A2" s="2" t="inlineStr">
        <is>
          <t>追蹤回覆時效 · 標記逾期跟進</t>
        </is>
      </c>
    </row>
    <row r="5" ht="30" customHeight="1">
      <c r="A5" s="18" t="inlineStr">
        <is>
          <t>日期</t>
        </is>
      </c>
      <c r="B5" s="18" t="inlineStr">
        <is>
          <t>學號</t>
        </is>
      </c>
      <c r="C5" s="18" t="inlineStr">
        <is>
          <t>家長姓名</t>
        </is>
      </c>
      <c r="D5" s="18" t="inlineStr">
        <is>
          <t>聯絡方式</t>
        </is>
      </c>
      <c r="E5" s="18" t="inlineStr">
        <is>
          <t>類型</t>
        </is>
      </c>
      <c r="F5" s="18" t="inlineStr">
        <is>
          <t>優先級</t>
        </is>
      </c>
      <c r="G5" s="18" t="inlineStr">
        <is>
          <t>內容摘要</t>
        </is>
      </c>
      <c r="H5" s="18" t="inlineStr">
        <is>
          <t>處理狀態</t>
        </is>
      </c>
      <c r="I5" s="18" t="inlineStr">
        <is>
          <t>回覆時限</t>
        </is>
      </c>
      <c r="J5" s="18" t="inlineStr">
        <is>
          <t>跟進日期</t>
        </is>
      </c>
      <c r="K5" s="18" t="inlineStr">
        <is>
          <t>逾期?</t>
        </is>
      </c>
      <c r="L5" s="18" t="inlineStr">
        <is>
          <t>負責人</t>
        </is>
      </c>
      <c r="M5" s="18" t="inlineStr">
        <is>
          <t>備註</t>
        </is>
      </c>
    </row>
    <row r="6">
      <c r="A6" s="19" t="inlineStr">
        <is>
          <t>2026-06-10</t>
        </is>
      </c>
      <c r="B6" s="19" t="inlineStr">
        <is>
          <t>S003</t>
        </is>
      </c>
      <c r="C6" s="20">
        <f>IF(B6="","",IFERROR(VLOOKUP(B6,學生資料庫!$A$6:$L$200,12,FALSE),""))</f>
        <v/>
      </c>
      <c r="D6" s="19" t="inlineStr">
        <is>
          <t>WhatsApp</t>
        </is>
      </c>
      <c r="E6" s="19" t="inlineStr">
        <is>
          <t>欠費提醒</t>
        </is>
      </c>
      <c r="F6" s="19" t="inlineStr">
        <is>
          <t>高</t>
        </is>
      </c>
      <c r="G6" s="19" t="inlineStr">
        <is>
          <t>6月學費未繳，已發提醒</t>
        </is>
      </c>
      <c r="H6" s="19" t="inlineStr">
        <is>
          <t>跟進中</t>
        </is>
      </c>
      <c r="I6" s="19" t="inlineStr">
        <is>
          <t>2026-06-12</t>
        </is>
      </c>
      <c r="J6" s="19" t="inlineStr">
        <is>
          <t>2026-06-15</t>
        </is>
      </c>
      <c r="K6" s="20">
        <f>IF(OR(J6="—",J6=""),"",IF(AND(H6&lt;&gt;"已完成",TODAY()&gt;J6),"⚠️",""))</f>
        <v/>
      </c>
      <c r="L6" s="19" t="inlineStr">
        <is>
          <t>營運者</t>
        </is>
      </c>
      <c r="M6" s="19" t="inlineStr"/>
    </row>
    <row r="7">
      <c r="A7" s="21" t="inlineStr">
        <is>
          <t>2026-06-10</t>
        </is>
      </c>
      <c r="B7" s="21" t="inlineStr">
        <is>
          <t>S001</t>
        </is>
      </c>
      <c r="C7" s="22">
        <f>IF(B7="","",IFERROR(VLOOKUP(B7,學生資料庫!$A$6:$L$200,12,FALSE),""))</f>
        <v/>
      </c>
      <c r="D7" s="21" t="inlineStr">
        <is>
          <t>WhatsApp</t>
        </is>
      </c>
      <c r="E7" s="21" t="inlineStr">
        <is>
          <t>進度查詢</t>
        </is>
      </c>
      <c r="F7" s="21" t="inlineStr">
        <is>
          <t>中</t>
        </is>
      </c>
      <c r="G7" s="21" t="inlineStr">
        <is>
          <t>查詢數學進度，已回覆</t>
        </is>
      </c>
      <c r="H7" s="21" t="inlineStr">
        <is>
          <t>已完成</t>
        </is>
      </c>
      <c r="I7" s="21" t="inlineStr">
        <is>
          <t>2026-06-10</t>
        </is>
      </c>
      <c r="J7" s="21" t="inlineStr">
        <is>
          <t>—</t>
        </is>
      </c>
      <c r="K7" s="22">
        <f>IF(OR(J7="—",J7=""),"",IF(AND(H7&lt;&gt;"已完成",TODAY()&gt;J7),"⚠️",""))</f>
        <v/>
      </c>
      <c r="L7" s="21" t="inlineStr">
        <is>
          <t>營運者</t>
        </is>
      </c>
      <c r="M7" s="21" t="inlineStr"/>
    </row>
    <row r="8">
      <c r="A8" s="19" t="inlineStr">
        <is>
          <t>2026-06-11</t>
        </is>
      </c>
      <c r="B8" s="19" t="inlineStr">
        <is>
          <t>—</t>
        </is>
      </c>
      <c r="C8" s="20">
        <f>IF(B8="","",IFERROR(VLOOKUP(B8,學生資料庫!$A$6:$L$200,12,FALSE),""))</f>
        <v/>
      </c>
      <c r="D8" s="19" t="inlineStr">
        <is>
          <t>電話</t>
        </is>
      </c>
      <c r="E8" s="19" t="inlineStr">
        <is>
          <t>招生查詢</t>
        </is>
      </c>
      <c r="F8" s="19" t="inlineStr">
        <is>
          <t>高</t>
        </is>
      </c>
      <c r="G8" s="19" t="inlineStr">
        <is>
          <t>查詢暑假班，已發傳單</t>
        </is>
      </c>
      <c r="H8" s="19" t="inlineStr">
        <is>
          <t>跟進中</t>
        </is>
      </c>
      <c r="I8" s="19" t="inlineStr">
        <is>
          <t>2026-06-13</t>
        </is>
      </c>
      <c r="J8" s="19" t="inlineStr">
        <is>
          <t>2026-06-13</t>
        </is>
      </c>
      <c r="K8" s="20">
        <f>IF(OR(J8="—",J8=""),"",IF(AND(H8&lt;&gt;"已完成",TODAY()&gt;J8),"⚠️",""))</f>
        <v/>
      </c>
      <c r="L8" s="19" t="inlineStr">
        <is>
          <t>營運者</t>
        </is>
      </c>
      <c r="M8" s="19" t="inlineStr">
        <is>
          <t>潛在新生</t>
        </is>
      </c>
    </row>
    <row r="9">
      <c r="A9" s="21" t="inlineStr">
        <is>
          <t>2026-06-11</t>
        </is>
      </c>
      <c r="B9" s="21" t="inlineStr">
        <is>
          <t>S005</t>
        </is>
      </c>
      <c r="C9" s="22">
        <f>IF(B9="","",IFERROR(VLOOKUP(B9,學生資料庫!$A$6:$L$200,12,FALSE),""))</f>
        <v/>
      </c>
      <c r="D9" s="21" t="inlineStr">
        <is>
          <t>WhatsApp</t>
        </is>
      </c>
      <c r="E9" s="21" t="inlineStr">
        <is>
          <t>續報查詢</t>
        </is>
      </c>
      <c r="F9" s="21" t="inlineStr">
        <is>
          <t>中</t>
        </is>
      </c>
      <c r="G9" s="21" t="inlineStr">
        <is>
          <t>查詢9月學期學費</t>
        </is>
      </c>
      <c r="H9" s="21" t="inlineStr">
        <is>
          <t>待處理</t>
        </is>
      </c>
      <c r="I9" s="21" t="inlineStr">
        <is>
          <t>2026-06-12</t>
        </is>
      </c>
      <c r="J9" s="21" t="inlineStr">
        <is>
          <t>2026-06-14</t>
        </is>
      </c>
      <c r="K9" s="22">
        <f>IF(OR(J9="—",J9=""),"",IF(AND(H9&lt;&gt;"已完成",TODAY()&gt;J9),"⚠️",""))</f>
        <v/>
      </c>
      <c r="L9" s="21" t="inlineStr">
        <is>
          <t>營運者</t>
        </is>
      </c>
      <c r="M9" s="21" t="inlineStr"/>
    </row>
  </sheetData>
  <mergeCells count="2">
    <mergeCell ref="A2:M2"/>
    <mergeCell ref="A1:M1"/>
  </mergeCells>
  <conditionalFormatting sqref="F6:F200">
    <cfRule type="expression" priority="1" dxfId="0">
      <formula>$F6="高"</formula>
    </cfRule>
  </conditionalFormatting>
  <conditionalFormatting sqref="K6:K200">
    <cfRule type="expression" priority="2" dxfId="0">
      <formula>$K6="⚠️"</formula>
    </cfRule>
  </conditionalFormatting>
  <dataValidations count="3">
    <dataValidation sqref="E6:E200" showDropDown="0" showInputMessage="0" showErrorMessage="0" allowBlank="1" type="list">
      <formula1>"欠費提醒,進度查詢,招生查詢,續報查詢,投訴,其他"</formula1>
    </dataValidation>
    <dataValidation sqref="F6:F200" showDropDown="0" showInputMessage="0" showErrorMessage="0" allowBlank="1" type="list">
      <formula1>"高,中,低"</formula1>
    </dataValidation>
    <dataValidation sqref="H6:H200" showDropDown="0" showInputMessage="0" showErrorMessage="0" allowBlank="1" type="list">
      <formula1>"已完成,跟進中,待處理"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12" customWidth="1" min="4" max="4"/>
    <col width="18" customWidth="1" min="5" max="5"/>
    <col width="8" customWidth="1" min="6" max="6"/>
    <col width="12" customWidth="1" min="7" max="7"/>
    <col width="10" customWidth="1" min="8" max="8"/>
    <col width="11" customWidth="1" min="9" max="9"/>
    <col width="11" customWidth="1" min="10" max="10"/>
    <col width="9" customWidth="1" min="11" max="11"/>
    <col width="8" customWidth="1" min="12" max="12"/>
    <col width="7" customWidth="1" min="13" max="13"/>
    <col width="16" customWidth="1" min="14" max="14"/>
  </cols>
  <sheetData>
    <row r="1">
      <c r="A1" s="1" t="inlineStr">
        <is>
          <t>俊才坊補習社 · 導師及員工資料</t>
        </is>
      </c>
    </row>
    <row r="2">
      <c r="A2" s="2" t="inlineStr">
        <is>
          <t>合約到期提醒 · 學生數及成本估算</t>
        </is>
      </c>
    </row>
    <row r="5" ht="30" customHeight="1">
      <c r="A5" s="18" t="inlineStr">
        <is>
          <t>編號</t>
        </is>
      </c>
      <c r="B5" s="18" t="inlineStr">
        <is>
          <t>姓名</t>
        </is>
      </c>
      <c r="C5" s="18" t="inlineStr">
        <is>
          <t>職位</t>
        </is>
      </c>
      <c r="D5" s="18" t="inlineStr">
        <is>
          <t>電話</t>
        </is>
      </c>
      <c r="E5" s="18" t="inlineStr">
        <is>
          <t>負責課程</t>
        </is>
      </c>
      <c r="F5" s="18" t="inlineStr">
        <is>
          <t>負責學生數</t>
        </is>
      </c>
      <c r="G5" s="18" t="inlineStr">
        <is>
          <t>薪酬</t>
        </is>
      </c>
      <c r="H5" s="18" t="inlineStr">
        <is>
          <t>月薪估算</t>
        </is>
      </c>
      <c r="I5" s="18" t="inlineStr">
        <is>
          <t>入職日期</t>
        </is>
      </c>
      <c r="J5" s="18" t="inlineStr">
        <is>
          <t>合約到期</t>
        </is>
      </c>
      <c r="K5" s="18" t="inlineStr">
        <is>
          <t>合約剩餘天數</t>
        </is>
      </c>
      <c r="L5" s="18" t="inlineStr">
        <is>
          <t>通知期</t>
        </is>
      </c>
      <c r="M5" s="18" t="inlineStr">
        <is>
          <t>狀態</t>
        </is>
      </c>
      <c r="N5" s="18" t="inlineStr">
        <is>
          <t>備註</t>
        </is>
      </c>
    </row>
    <row r="6">
      <c r="A6" s="19" t="inlineStr">
        <is>
          <t>T001</t>
        </is>
      </c>
      <c r="B6" s="19" t="inlineStr">
        <is>
          <t>導師A</t>
        </is>
      </c>
      <c r="C6" s="19" t="inlineStr">
        <is>
          <t>全職導師</t>
        </is>
      </c>
      <c r="D6" s="19" t="inlineStr">
        <is>
          <t>9XXX XXXX</t>
        </is>
      </c>
      <c r="E6" s="19" t="inlineStr">
        <is>
          <t>功課輔導、DSE</t>
        </is>
      </c>
      <c r="F6" s="20">
        <f>COUNTIF(學生資料庫!S6:S200,B6)</f>
        <v/>
      </c>
      <c r="G6" s="19" t="inlineStr">
        <is>
          <t>$22,500/月</t>
        </is>
      </c>
      <c r="H6" s="20">
        <f>IF(ISNUMBER(SEARCH("/月",G6)),VALUE(SUBSTITUTE(SUBSTITUTE(G6,"$",""),"/月","")),"")</f>
        <v/>
      </c>
      <c r="I6" s="19" t="inlineStr">
        <is>
          <t>2020-03-01</t>
        </is>
      </c>
      <c r="J6" s="19" t="inlineStr">
        <is>
          <t>2026-12-31</t>
        </is>
      </c>
      <c r="K6" s="20">
        <f>IF(J6="—","",IF(J6="","",J6-TODAY()))</f>
        <v/>
      </c>
      <c r="L6" s="19" t="inlineStr">
        <is>
          <t>2個月</t>
        </is>
      </c>
      <c r="M6" s="19" t="inlineStr">
        <is>
          <t>在職</t>
        </is>
      </c>
      <c r="N6" s="19" t="inlineStr">
        <is>
          <t>核心導師</t>
        </is>
      </c>
    </row>
    <row r="7">
      <c r="A7" s="21" t="inlineStr">
        <is>
          <t>T002</t>
        </is>
      </c>
      <c r="B7" s="21" t="inlineStr">
        <is>
          <t>導師B</t>
        </is>
      </c>
      <c r="C7" s="21" t="inlineStr">
        <is>
          <t>全職導師</t>
        </is>
      </c>
      <c r="D7" s="21" t="inlineStr">
        <is>
          <t>9XXX XXXX</t>
        </is>
      </c>
      <c r="E7" s="21" t="inlineStr">
        <is>
          <t>功課輔導、DSE</t>
        </is>
      </c>
      <c r="F7" s="22">
        <f>COUNTIF(學生資料庫!S6:S200,B7)</f>
        <v/>
      </c>
      <c r="G7" s="21" t="inlineStr">
        <is>
          <t>$22,500/月</t>
        </is>
      </c>
      <c r="H7" s="22">
        <f>IF(ISNUMBER(SEARCH("/月",G7)),VALUE(SUBSTITUTE(SUBSTITUTE(G7,"$",""),"/月","")),"")</f>
        <v/>
      </c>
      <c r="I7" s="21" t="inlineStr">
        <is>
          <t>2019-09-01</t>
        </is>
      </c>
      <c r="J7" s="21" t="inlineStr">
        <is>
          <t>2026-12-31</t>
        </is>
      </c>
      <c r="K7" s="22">
        <f>IF(J7="—","",IF(J7="","",J7-TODAY()))</f>
        <v/>
      </c>
      <c r="L7" s="21" t="inlineStr">
        <is>
          <t>2個月</t>
        </is>
      </c>
      <c r="M7" s="21" t="inlineStr">
        <is>
          <t>在職</t>
        </is>
      </c>
      <c r="N7" s="21" t="inlineStr">
        <is>
          <t>核心導師</t>
        </is>
      </c>
    </row>
    <row r="8">
      <c r="A8" s="19" t="inlineStr">
        <is>
          <t>T003</t>
        </is>
      </c>
      <c r="B8" s="19" t="inlineStr">
        <is>
          <t>兼職C</t>
        </is>
      </c>
      <c r="C8" s="19" t="inlineStr">
        <is>
          <t>兼職導師</t>
        </is>
      </c>
      <c r="D8" s="19" t="inlineStr">
        <is>
          <t>9XXX XXXX</t>
        </is>
      </c>
      <c r="E8" s="19" t="inlineStr">
        <is>
          <t>習慣班</t>
        </is>
      </c>
      <c r="F8" s="20">
        <f>COUNTIF(學生資料庫!S6:S200,B8)</f>
        <v/>
      </c>
      <c r="G8" s="19" t="inlineStr">
        <is>
          <t>$150/時</t>
        </is>
      </c>
      <c r="H8" s="20">
        <f>IF(ISNUMBER(SEARCH("/月",G8)),VALUE(SUBSTITUTE(SUBSTITUTE(G8,"$",""),"/月","")),"")</f>
        <v/>
      </c>
      <c r="I8" s="19" t="inlineStr">
        <is>
          <t>2025-01-01</t>
        </is>
      </c>
      <c r="J8" s="19" t="inlineStr">
        <is>
          <t>—</t>
        </is>
      </c>
      <c r="K8" s="20">
        <f>IF(J8="—","",IF(J8="","",J8-TODAY()))</f>
        <v/>
      </c>
      <c r="L8" s="19" t="inlineStr">
        <is>
          <t>1個月</t>
        </is>
      </c>
      <c r="M8" s="19" t="inlineStr">
        <is>
          <t>在職</t>
        </is>
      </c>
      <c r="N8" s="19" t="inlineStr"/>
    </row>
    <row r="9">
      <c r="A9" s="21" t="inlineStr">
        <is>
          <t>T004</t>
        </is>
      </c>
      <c r="B9" s="21" t="inlineStr">
        <is>
          <t>兼職D</t>
        </is>
      </c>
      <c r="C9" s="21" t="inlineStr">
        <is>
          <t>兼職導師</t>
        </is>
      </c>
      <c r="D9" s="21" t="inlineStr">
        <is>
          <t>9XXX XXXX</t>
        </is>
      </c>
      <c r="E9" s="21" t="inlineStr">
        <is>
          <t>籃球班</t>
        </is>
      </c>
      <c r="F9" s="22">
        <f>COUNTIF(學生資料庫!S6:S200,B9)</f>
        <v/>
      </c>
      <c r="G9" s="21" t="inlineStr">
        <is>
          <t>$200/時</t>
        </is>
      </c>
      <c r="H9" s="22">
        <f>IF(ISNUMBER(SEARCH("/月",G9)),VALUE(SUBSTITUTE(SUBSTITUTE(G9,"$",""),"/月","")),"")</f>
        <v/>
      </c>
      <c r="I9" s="21" t="inlineStr">
        <is>
          <t>2025-06-01</t>
        </is>
      </c>
      <c r="J9" s="21" t="inlineStr">
        <is>
          <t>—</t>
        </is>
      </c>
      <c r="K9" s="22">
        <f>IF(J9="—","",IF(J9="","",J9-TODAY()))</f>
        <v/>
      </c>
      <c r="L9" s="21" t="inlineStr">
        <is>
          <t>1個月</t>
        </is>
      </c>
      <c r="M9" s="21" t="inlineStr">
        <is>
          <t>在職</t>
        </is>
      </c>
      <c r="N9" s="21" t="inlineStr">
        <is>
          <t>外聘教練</t>
        </is>
      </c>
    </row>
    <row r="12">
      <c r="A12" s="14" t="inlineStr">
        <is>
          <t>全職導師月薪合計</t>
        </is>
      </c>
      <c r="H12" s="11">
        <f>SUMIF(C6:C9,"全職導師",H6:H9)</f>
        <v/>
      </c>
    </row>
  </sheetData>
  <mergeCells count="2">
    <mergeCell ref="A2:N2"/>
    <mergeCell ref="A1:N1"/>
  </mergeCells>
  <conditionalFormatting sqref="K6:K200">
    <cfRule type="expression" priority="1" dxfId="2">
      <formula>AND(K6&lt;&gt;"",K6&lt;=60,K6&gt;0)</formula>
    </cfRule>
    <cfRule type="expression" priority="2" dxfId="0">
      <formula>AND(K6&lt;&gt;"",K6&lt;=0)</formula>
    </cfRule>
  </conditionalFormatting>
  <dataValidations count="1">
    <dataValidation sqref="M6:M200" showDropDown="0" showInputMessage="0" showErrorMessage="0" allowBlank="1" type="list">
      <formula1>"在職,離職,試用,顧問"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2026-06-11T09:36:31Z</dcterms:created>
  <dcterms:modified xsi:type="dcterms:W3CDTF">2026-06-11T09:36:31Z</dcterms:modified>
</cp:coreProperties>
</file>