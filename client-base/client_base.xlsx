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➕ Add New Client" sheetId="3" state="visible" r:id="rId3"/>
    <sheet name="Clients" sheetId="4" state="visible" r:id="rId4"/>
    <sheet name="Referral System" sheetId="5" state="visible" r:id="rId5"/>
    <sheet name="Birthdays" sheetId="6" state="visible" r:id="rId6"/>
    <sheet name="Approach Funnel" sheetId="7" state="visible" r:id="rId7"/>
    <sheet name="This Week" sheetId="8" state="visible" r:id="rId8"/>
    <sheet name="Policies" sheetId="9" state="visible" r:id="rId9"/>
    <sheet name="Lookup" sheetId="10" state="hidden" r:id="rId10"/>
  </sheets>
  <definedNames>
    <definedName name="_xlnm._FilterDatabase" localSheetId="3" hidden="1">'Clients'!$A$2:$AH$122</definedName>
    <definedName name="_xlnm._FilterDatabase" localSheetId="8" hidden="1">'Policies'!$A$2:$L$33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%&quot;"/>
    <numFmt numFmtId="165" formatCode="yyyy-mm-dd"/>
    <numFmt numFmtId="166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1A365D"/>
      <sz val="22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20"/>
    </font>
    <font>
      <name val="Calibri"/>
      <b val="1"/>
      <color rgb="00FFFFFF"/>
      <sz val="11"/>
    </font>
    <font>
      <name val="Calibri"/>
      <b val="1"/>
      <color rgb="00FFFFFF"/>
      <sz val="28"/>
    </font>
    <font>
      <name val="Calibri"/>
      <b val="1"/>
      <color rgb="00000000"/>
      <sz val="12"/>
    </font>
    <font>
      <name val="Calibri"/>
      <color rgb="002C5282"/>
      <sz val="11"/>
    </font>
    <font>
      <name val="Calibri"/>
      <b val="1"/>
      <color rgb="002C5282"/>
      <sz val="11"/>
    </font>
    <font>
      <name val="Calibri"/>
      <b val="1"/>
      <color rgb="00FFFFFF"/>
      <sz val="18"/>
    </font>
    <font>
      <name val="Calibri"/>
      <b val="1"/>
      <color rgb="00C53030"/>
      <sz val="12"/>
    </font>
    <font>
      <name val="Calibri"/>
      <b val="1"/>
      <color rgb="00FFFFFF"/>
      <sz val="14"/>
    </font>
    <font>
      <name val="Calibri"/>
      <b val="1"/>
      <color rgb="00276749"/>
      <sz val="12"/>
    </font>
    <font>
      <name val="Calibri"/>
      <color rgb="002D3748"/>
      <sz val="11"/>
    </font>
    <font>
      <name val="Calibri"/>
      <b val="1"/>
      <color rgb="00FFFFFF"/>
      <sz val="16"/>
    </font>
    <font>
      <name val="Calibri"/>
      <color rgb="00000000"/>
      <sz val="10"/>
    </font>
  </fonts>
  <fills count="19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2C5282"/>
        <bgColor rgb="002C5282"/>
      </patternFill>
    </fill>
    <fill>
      <patternFill patternType="solid">
        <fgColor rgb="00C53030"/>
        <bgColor rgb="00C53030"/>
      </patternFill>
    </fill>
    <fill>
      <patternFill patternType="solid">
        <fgColor rgb="00DD6B20"/>
        <bgColor rgb="00DD6B20"/>
      </patternFill>
    </fill>
    <fill>
      <patternFill patternType="solid">
        <fgColor rgb="00276749"/>
        <bgColor rgb="00276749"/>
      </patternFill>
    </fill>
    <fill>
      <patternFill patternType="solid">
        <fgColor rgb="006B46C1"/>
        <bgColor rgb="006B46C1"/>
      </patternFill>
    </fill>
    <fill>
      <patternFill patternType="solid">
        <fgColor rgb="002B6CB0"/>
        <bgColor rgb="002B6CB0"/>
      </patternFill>
    </fill>
    <fill>
      <patternFill patternType="solid">
        <fgColor rgb="00FFFFF0"/>
        <bgColor rgb="00FFFFF0"/>
      </patternFill>
    </fill>
    <fill>
      <patternFill patternType="solid">
        <fgColor rgb="00E6FFFA"/>
        <bgColor rgb="00E6FFFA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D69E2E"/>
        <bgColor rgb="00D69E2E"/>
      </patternFill>
    </fill>
    <fill>
      <patternFill patternType="solid">
        <fgColor rgb="00B83280"/>
        <bgColor rgb="00B83280"/>
      </patternFill>
    </fill>
    <fill>
      <patternFill patternType="solid">
        <fgColor rgb="00C6F6D5"/>
        <bgColor rgb="00C6F6D5"/>
      </patternFill>
    </fill>
    <fill>
      <patternFill patternType="solid">
        <fgColor rgb="00FED7D7"/>
        <bgColor rgb="00FED7D7"/>
      </patternFill>
    </fill>
    <fill>
      <patternFill patternType="solid">
        <fgColor rgb="00FEEBC8"/>
        <bgColor rgb="00FEEBC8"/>
      </patternFill>
    </fill>
    <fill>
      <patternFill patternType="solid">
        <fgColor rgb="00553C9A"/>
        <bgColor rgb="00553C9A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top" wrapText="1"/>
    </xf>
    <xf numFmtId="0" fontId="5" fillId="4" borderId="0" applyAlignment="1" pivotButton="0" quotePrefix="0" xfId="0">
      <alignment horizontal="center" vertical="top" wrapText="1"/>
    </xf>
    <xf numFmtId="0" fontId="5" fillId="5" borderId="0" applyAlignment="1" pivotButton="0" quotePrefix="0" xfId="0">
      <alignment horizontal="center" vertical="top" wrapText="1"/>
    </xf>
    <xf numFmtId="0" fontId="5" fillId="6" borderId="0" applyAlignment="1" pivotButton="0" quotePrefix="0" xfId="0">
      <alignment horizontal="center" vertical="top" wrapText="1"/>
    </xf>
    <xf numFmtId="0" fontId="5" fillId="7" borderId="0" applyAlignment="1" pivotButton="0" quotePrefix="0" xfId="0">
      <alignment horizontal="center" vertical="top" wrapText="1"/>
    </xf>
    <xf numFmtId="0" fontId="5" fillId="8" borderId="0" applyAlignment="1" pivotButton="0" quotePrefix="0" xfId="0">
      <alignment horizontal="center" vertical="top" wrapText="1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9" borderId="1" pivotButton="0" quotePrefix="0" xfId="0"/>
    <xf numFmtId="0" fontId="11" fillId="0" borderId="0" pivotButton="0" quotePrefix="0" xfId="0"/>
    <xf numFmtId="0" fontId="2" fillId="10" borderId="1" pivotButton="0" quotePrefix="0" xfId="0"/>
    <xf numFmtId="165" fontId="2" fillId="10" borderId="1" pivotButton="0" quotePrefix="0" xfId="0"/>
    <xf numFmtId="0" fontId="12" fillId="2" borderId="0" applyAlignment="1" pivotButton="0" quotePrefix="0" xfId="0">
      <alignment horizontal="center" vertical="center"/>
    </xf>
    <xf numFmtId="0" fontId="2" fillId="11" borderId="1" pivotButton="0" quotePrefix="0" xfId="0"/>
    <xf numFmtId="0" fontId="2" fillId="11" borderId="1" applyAlignment="1" pivotButton="0" quotePrefix="0" xfId="0">
      <alignment vertical="top" wrapText="1"/>
    </xf>
    <xf numFmtId="49" fontId="2" fillId="11" borderId="1" pivotButton="0" quotePrefix="0" xfId="0"/>
    <xf numFmtId="165" fontId="2" fillId="11" borderId="1" pivotButton="0" quotePrefix="0" xfId="0"/>
    <xf numFmtId="0" fontId="2" fillId="12" borderId="1" pivotButton="0" quotePrefix="0" xfId="0"/>
    <xf numFmtId="0" fontId="2" fillId="12" borderId="1" applyAlignment="1" pivotButton="0" quotePrefix="0" xfId="0">
      <alignment vertical="top" wrapText="1"/>
    </xf>
    <xf numFmtId="49" fontId="2" fillId="12" borderId="1" pivotButton="0" quotePrefix="0" xfId="0"/>
    <xf numFmtId="165" fontId="2" fillId="12" borderId="1" pivotButton="0" quotePrefix="0" xfId="0"/>
    <xf numFmtId="0" fontId="13" fillId="0" borderId="0" pivotButton="0" quotePrefix="0" xfId="0"/>
    <xf numFmtId="0" fontId="14" fillId="10" borderId="1" pivotButton="0" quotePrefix="0" xfId="0"/>
    <xf numFmtId="49" fontId="14" fillId="10" borderId="1" pivotButton="0" quotePrefix="0" xfId="0"/>
    <xf numFmtId="165" fontId="14" fillId="10" borderId="1" pivotButton="0" quotePrefix="0" xfId="0"/>
    <xf numFmtId="0" fontId="15" fillId="13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0" applyAlignment="1" pivotButton="0" quotePrefix="0" xfId="0">
      <alignment wrapText="1"/>
    </xf>
    <xf numFmtId="165" fontId="0" fillId="10" borderId="1" pivotButton="0" quotePrefix="0" xfId="0"/>
    <xf numFmtId="0" fontId="0" fillId="10" borderId="1" pivotButton="0" quotePrefix="0" xfId="0"/>
    <xf numFmtId="0" fontId="15" fillId="14" borderId="0" applyAlignment="1" pivotButton="0" quotePrefix="0" xfId="0">
      <alignment horizontal="center" vertical="center"/>
    </xf>
    <xf numFmtId="165" fontId="0" fillId="0" borderId="1" pivotButton="0" quotePrefix="0" xfId="0"/>
    <xf numFmtId="0" fontId="15" fillId="8" borderId="0" applyAlignment="1" pivotButton="0" quotePrefix="0" xfId="0">
      <alignment horizontal="center" vertical="center"/>
    </xf>
    <xf numFmtId="166" fontId="0" fillId="0" borderId="0" pivotButton="0" quotePrefix="0" xfId="0"/>
    <xf numFmtId="0" fontId="15" fillId="4" borderId="0" applyAlignment="1" pivotButton="0" quotePrefix="0" xfId="0">
      <alignment horizontal="center" vertical="center"/>
    </xf>
    <xf numFmtId="0" fontId="2" fillId="0" borderId="1" pivotButton="0" quotePrefix="0" xfId="0"/>
    <xf numFmtId="0" fontId="2" fillId="15" borderId="1" pivotButton="0" quotePrefix="0" xfId="0"/>
    <xf numFmtId="0" fontId="2" fillId="16" borderId="1" pivotButton="0" quotePrefix="0" xfId="0"/>
    <xf numFmtId="0" fontId="2" fillId="17" borderId="1" pivotButton="0" quotePrefix="0" xfId="0"/>
    <xf numFmtId="0" fontId="12" fillId="18" borderId="0" applyAlignment="1" pivotButton="0" quotePrefix="0" xfId="0">
      <alignment horizontal="center"/>
    </xf>
    <xf numFmtId="0" fontId="16" fillId="0" borderId="1" pivotButton="0" quotePrefix="0" xfId="0"/>
    <xf numFmtId="0" fontId="16" fillId="12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ED7D7"/>
          <bgColor rgb="00FED7D7"/>
        </patternFill>
      </fill>
    </dxf>
    <dxf>
      <fill>
        <patternFill patternType="solid">
          <fgColor rgb="00C6F6D5"/>
          <bgColor rgb="00C6F6D5"/>
        </patternFill>
      </fill>
    </dxf>
    <dxf>
      <fill>
        <patternFill patternType="solid">
          <fgColor rgb="00FEEBC8"/>
          <bgColor rgb="00FEEBC8"/>
        </patternFill>
      </fill>
    </dxf>
    <dxf>
      <fill>
        <patternFill patternType="solid">
          <fgColor rgb="00FAF089"/>
          <bgColor rgb="00FAF089"/>
        </patternFill>
      </fill>
    </dxf>
    <dxf>
      <fill>
        <patternFill patternType="solid">
          <fgColor rgb="00B2F5EA"/>
          <bgColor rgb="00B2F5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ClientPipeline" displayName="ClientPipeline" ref="A2:AH122" headerRowCount="1">
  <autoFilter ref="A2:AH122"/>
  <tableColumns count="34">
    <tableColumn id="1" name="Rank"/>
    <tableColumn id="2" name="Category"/>
    <tableColumn id="3" name="Score"/>
    <tableColumn id="4" name="Next Action"/>
    <tableColumn id="5" name="Stage"/>
    <tableColumn id="6" name="Client?"/>
    <tableColumn id="7" name="English Name"/>
    <tableColumn id="8" name="Nickname"/>
    <tableColumn id="9" name="Phone"/>
    <tableColumn id="10" name="Gender"/>
    <tableColumn id="11" name="Age"/>
    <tableColumn id="12" name="Relationship"/>
    <tableColumn id="13" name="Rel (1-5)"/>
    <tableColumn id="14" name="Poss (1-5)"/>
    <tableColumn id="15" name="Job"/>
    <tableColumn id="16" name="Area"/>
    <tableColumn id="17" name="Income"/>
    <tableColumn id="18" name="Product Interest"/>
    <tableColumn id="19" name="Remarks"/>
    <tableColumn id="20" name="Last Note"/>
    <tableColumn id="21" name="Approach Status"/>
    <tableColumn id="22" name="Next Touch Date"/>
    <tableColumn id="23" name="Birthday"/>
    <tableColumn id="24" name="Days to Birthday"/>
    <tableColumn id="25" name="Birthday ≤30d?"/>
    <tableColumn id="26" name="Referral Tier"/>
    <tableColumn id="27" name="Referral Asked?"/>
    <tableColumn id="28" name="Referrals Given"/>
    <tableColumn id="29" name="Referred By"/>
    <tableColumn id="30" name="Last Referral Date"/>
    <tableColumn id="31" name="Referral Notes"/>
    <tableColumn id="32" name="L0"/>
    <tableColumn id="33" name="L1"/>
    <tableColumn id="34" name="L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D69E2E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6" customWidth="1" min="1" max="1"/>
    <col width="72" customWidth="1" min="2" max="2"/>
  </cols>
  <sheetData>
    <row r="1" ht="40" customHeight="1">
      <c r="A1" s="1" t="inlineStr">
        <is>
          <t>Client Base — Welcome</t>
        </is>
      </c>
    </row>
    <row r="3">
      <c r="A3" s="2" t="inlineStr"/>
      <c r="B3" s="2" t="inlineStr"/>
    </row>
    <row r="4">
      <c r="A4" s="3" t="inlineStr">
        <is>
          <t>Quick start</t>
        </is>
      </c>
      <c r="B4" s="2" t="inlineStr"/>
    </row>
    <row r="5">
      <c r="A5" s="2" t="inlineStr">
        <is>
          <t>1</t>
        </is>
      </c>
      <c r="B5" s="2" t="inlineStr">
        <is>
          <t>Add a new person → open sheet 「➕ Add New Client」, fill the yellow form.</t>
        </is>
      </c>
    </row>
    <row r="6">
      <c r="A6" s="2" t="inlineStr">
        <is>
          <t>2</t>
        </is>
      </c>
      <c r="B6" s="2" t="inlineStr">
        <is>
          <t>Click 「Add to Client List」 area → copy the green row → paste into 「Clients」 first empty row.</t>
        </is>
      </c>
    </row>
    <row r="7">
      <c r="A7" s="2" t="inlineStr">
        <is>
          <t>3</t>
        </is>
      </c>
      <c r="B7" s="2" t="inlineStr">
        <is>
          <t>Work from 「This Week」, 「Referral System」, or 「Birthdays」 tabs.</t>
        </is>
      </c>
    </row>
    <row r="8">
      <c r="A8" s="2" t="inlineStr">
        <is>
          <t>4</t>
        </is>
      </c>
      <c r="B8" s="2" t="inlineStr">
        <is>
          <t>Fill Birthday + Approach Status on 「Clients」 for automation.</t>
        </is>
      </c>
    </row>
    <row r="9">
      <c r="A9" s="2" t="inlineStr"/>
      <c r="B9" s="2" t="inlineStr"/>
    </row>
    <row r="10">
      <c r="A10" s="2" t="inlineStr">
        <is>
          <t>Referral system</t>
        </is>
      </c>
      <c r="B10" s="2" t="inlineStr"/>
    </row>
    <row r="11">
      <c r="A11" s="2" t="inlineStr">
        <is>
          <t>•</t>
        </is>
      </c>
      <c r="B11" s="2" t="inlineStr">
        <is>
          <t>「Referral System」 — champions, scripts, tracking.</t>
        </is>
      </c>
    </row>
    <row r="12">
      <c r="A12" s="2" t="inlineStr">
        <is>
          <t>•</t>
        </is>
      </c>
      <c r="B12" s="2" t="inlineStr">
        <is>
          <t>Set Referral Asked? / Referrals Given on Clients sheet.</t>
        </is>
      </c>
    </row>
    <row r="13">
      <c r="A13" s="2" t="inlineStr"/>
      <c r="B13" s="2" t="inlineStr"/>
    </row>
    <row r="14">
      <c r="A14" s="2" t="inlineStr">
        <is>
          <t>Birthdays</t>
        </is>
      </c>
      <c r="B14" s="2" t="inlineStr"/>
    </row>
    <row r="15">
      <c r="A15" s="2" t="inlineStr">
        <is>
          <t>•</t>
        </is>
      </c>
      <c r="B15" s="2" t="inlineStr">
        <is>
          <t>Enter Birthday on Clients → Days to Birthday calculates automatically.</t>
        </is>
      </c>
    </row>
    <row r="16">
      <c r="A16" s="2" t="inlineStr">
        <is>
          <t>•</t>
        </is>
      </c>
      <c r="B16" s="2" t="inlineStr">
        <is>
          <t>「Birthdays」 tab lists contacts with birthday within 30 days.</t>
        </is>
      </c>
    </row>
    <row r="17">
      <c r="A17" s="2" t="inlineStr"/>
      <c r="B17" s="2" t="inlineStr"/>
    </row>
    <row r="18">
      <c r="A18" s="3" t="inlineStr">
        <is>
          <t>Tips</t>
        </is>
      </c>
      <c r="B18" s="2" t="inlineStr"/>
    </row>
    <row r="19">
      <c r="A19" s="2" t="inlineStr">
        <is>
          <t>•</t>
        </is>
      </c>
      <c r="B19" s="2" t="inlineStr">
        <is>
          <t>Approach Status dropdown tracks where each person is in your sales flow.</t>
        </is>
      </c>
    </row>
    <row r="20">
      <c r="A20" s="2" t="inlineStr">
        <is>
          <t>•</t>
        </is>
      </c>
      <c r="B20" s="2" t="inlineStr">
        <is>
          <t>Refresh: python3 import_google_sheet.py in client-base folder.</t>
        </is>
      </c>
    </row>
    <row r="21">
      <c r="A21" s="2" t="inlineStr"/>
      <c r="B21" s="2" t="inlineStr"/>
    </row>
    <row r="22">
      <c r="A22" s="2" t="inlineStr">
        <is>
          <t>Updated</t>
        </is>
      </c>
      <c r="B22" s="2" t="inlineStr">
        <is>
          <t>2026-06-03 17:32</t>
        </is>
      </c>
    </row>
  </sheetData>
  <mergeCells count="21">
    <mergeCell ref="B4:F4"/>
    <mergeCell ref="B7:F7"/>
    <mergeCell ref="B16:F16"/>
    <mergeCell ref="B3:F3"/>
    <mergeCell ref="B22:F22"/>
    <mergeCell ref="B18:F18"/>
    <mergeCell ref="B21:F21"/>
    <mergeCell ref="B12:F12"/>
    <mergeCell ref="B11:F11"/>
    <mergeCell ref="B14:F14"/>
    <mergeCell ref="B8:F8"/>
    <mergeCell ref="B17:F17"/>
    <mergeCell ref="B13:F13"/>
    <mergeCell ref="B10:F10"/>
    <mergeCell ref="B19:F19"/>
    <mergeCell ref="B9:F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0" customWidth="1" min="3" max="3"/>
  </cols>
  <sheetData>
    <row r="1" ht="44" customHeight="1">
      <c r="A1" s="4" t="inlineStr">
        <is>
          <t>Sales Pipeline Overview</t>
        </is>
      </c>
    </row>
    <row r="3">
      <c r="A3" s="5" t="inlineStr">
        <is>
          <t>Total Contacts</t>
        </is>
      </c>
      <c r="C3" s="6" t="inlineStr">
        <is>
          <t>Hot Leads</t>
        </is>
      </c>
      <c r="E3" s="7" t="inlineStr">
        <is>
          <t>Warm</t>
        </is>
      </c>
      <c r="G3" s="8" t="inlineStr">
        <is>
          <t>Clients</t>
        </is>
      </c>
      <c r="I3" s="9" t="inlineStr">
        <is>
          <t>Need Action</t>
        </is>
      </c>
      <c r="K3" s="10" t="inlineStr">
        <is>
          <t>L1 / L2 / L3</t>
        </is>
      </c>
    </row>
    <row r="4"/>
    <row r="5">
      <c r="A5" s="11" t="n">
        <v>104</v>
      </c>
      <c r="C5" s="12" t="n">
        <v>14</v>
      </c>
      <c r="E5" s="13" t="n">
        <v>13</v>
      </c>
      <c r="G5" s="14" t="n">
        <v>7</v>
      </c>
      <c r="I5" s="15" t="n">
        <v>24</v>
      </c>
      <c r="K5" s="16" t="n">
        <v>8</v>
      </c>
    </row>
    <row r="6"/>
    <row r="8">
      <c r="A8" s="17" t="inlineStr">
        <is>
          <t>Category breakdown</t>
        </is>
      </c>
    </row>
    <row r="9">
      <c r="A9" s="3" t="inlineStr">
        <is>
          <t>Hot</t>
        </is>
      </c>
      <c r="B9" t="n">
        <v>14</v>
      </c>
      <c r="C9" s="18" t="n">
        <v>13.5</v>
      </c>
    </row>
    <row r="10">
      <c r="A10" s="3" t="inlineStr">
        <is>
          <t>Warm</t>
        </is>
      </c>
      <c r="B10" t="n">
        <v>13</v>
      </c>
      <c r="C10" s="18" t="n">
        <v>12.5</v>
      </c>
    </row>
    <row r="11">
      <c r="A11" s="3" t="inlineStr">
        <is>
          <t>Nurture</t>
        </is>
      </c>
      <c r="B11" t="n">
        <v>31</v>
      </c>
      <c r="C11" s="18" t="n">
        <v>29.8</v>
      </c>
    </row>
    <row r="12">
      <c r="A12" s="3" t="inlineStr">
        <is>
          <t>Client</t>
        </is>
      </c>
      <c r="B12" t="n">
        <v>7</v>
      </c>
      <c r="C12" s="18" t="n">
        <v>6.7</v>
      </c>
    </row>
    <row r="13">
      <c r="A13" s="3" t="inlineStr">
        <is>
          <t>Low</t>
        </is>
      </c>
      <c r="B13" t="n">
        <v>39</v>
      </c>
      <c r="C13" s="18" t="n">
        <v>37.5</v>
      </c>
    </row>
    <row r="15">
      <c r="A15" s="17" t="inlineStr">
        <is>
          <t>Referral &amp; birthdays</t>
        </is>
      </c>
    </row>
    <row r="16">
      <c r="A16" t="inlineStr">
        <is>
          <t>Champions (live)</t>
        </is>
      </c>
      <c r="B16" s="19">
        <f>COUNTIF(Clients!Z3:Z500,"Champion")</f>
        <v/>
      </c>
    </row>
    <row r="17">
      <c r="A17" t="inlineStr">
        <is>
          <t>Birthdays ≤30 days</t>
        </is>
      </c>
      <c r="B17" s="19">
        <f>COUNTIF(Clients!Y3:Y500,"YES")</f>
        <v/>
      </c>
    </row>
    <row r="18">
      <c r="A18" t="inlineStr">
        <is>
          <t>Referral asked (Yes)</t>
        </is>
      </c>
      <c r="B18" s="19">
        <f>COUNTIF(Clients!AA3:AA500,"Yes*")</f>
        <v/>
      </c>
    </row>
    <row r="20">
      <c r="A20" t="inlineStr">
        <is>
          <t>Go to sheet →</t>
        </is>
      </c>
    </row>
    <row r="21">
      <c r="B21" s="20" t="inlineStr">
        <is>
          <t>Referral System</t>
        </is>
      </c>
    </row>
    <row r="22">
      <c r="B22" s="20" t="inlineStr">
        <is>
          <t>Birthdays</t>
        </is>
      </c>
    </row>
    <row r="23">
      <c r="B23" s="20" t="inlineStr">
        <is>
          <t>Approach Funnel</t>
        </is>
      </c>
    </row>
    <row r="24">
      <c r="B24" s="20" t="inlineStr">
        <is>
          <t>Clients</t>
        </is>
      </c>
    </row>
    <row r="25">
      <c r="B25" s="20" t="inlineStr">
        <is>
          <t>➕ Add New Client</t>
        </is>
      </c>
    </row>
    <row r="26">
      <c r="B26" s="20" t="inlineStr">
        <is>
          <t>This Week</t>
        </is>
      </c>
    </row>
  </sheetData>
  <mergeCells count="13">
    <mergeCell ref="E3:F4"/>
    <mergeCell ref="K3:L4"/>
    <mergeCell ref="I3:J4"/>
    <mergeCell ref="C5:D6"/>
    <mergeCell ref="A5:B6"/>
    <mergeCell ref="G5:H6"/>
    <mergeCell ref="E5:F6"/>
    <mergeCell ref="K5:L6"/>
    <mergeCell ref="I5:J6"/>
    <mergeCell ref="A1:H1"/>
    <mergeCell ref="C3:D4"/>
    <mergeCell ref="A3:B4"/>
    <mergeCell ref="G3:H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8A169"/>
    <outlinePr summaryBelow="1" summaryRight="1"/>
    <pageSetUpPr/>
  </sheetPr>
  <dimension ref="A1:AH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40" customHeight="1">
      <c r="B1" s="21" t="inlineStr">
        <is>
          <t>➕ Add New Client</t>
        </is>
      </c>
    </row>
    <row r="2" ht="36" customHeight="1">
      <c r="B2" s="22" t="inlineStr">
        <is>
          <t>Step 1: Fill yellow cells  |  Step 2: Copy the green row below  |  Step 3: Paste into 「Clients」 in the first empty green row at the bottom</t>
        </is>
      </c>
    </row>
    <row r="3">
      <c r="A3" s="23" t="n"/>
      <c r="B3" s="23" t="inlineStr">
        <is>
          <t>Field</t>
        </is>
      </c>
      <c r="C3" s="23" t="inlineStr">
        <is>
          <t>Your input</t>
        </is>
      </c>
    </row>
    <row r="4">
      <c r="B4" s="24" t="inlineStr">
        <is>
          <t>English Name *</t>
        </is>
      </c>
      <c r="C4" s="25" t="n"/>
    </row>
    <row r="5">
      <c r="B5" s="24" t="inlineStr">
        <is>
          <t>Nickname</t>
        </is>
      </c>
      <c r="C5" s="25" t="n"/>
    </row>
    <row r="6">
      <c r="B6" s="24" t="inlineStr">
        <is>
          <t>Phone (8 digits)</t>
        </is>
      </c>
      <c r="C6" s="25" t="n"/>
    </row>
    <row r="7">
      <c r="B7" s="24" t="inlineStr">
        <is>
          <t>Gender</t>
        </is>
      </c>
      <c r="C7" s="25" t="n"/>
    </row>
    <row r="8">
      <c r="B8" s="24" t="inlineStr">
        <is>
          <t>Age</t>
        </is>
      </c>
      <c r="C8" s="25" t="n"/>
    </row>
    <row r="9">
      <c r="B9" s="24" t="inlineStr">
        <is>
          <t>Relationship</t>
        </is>
      </c>
      <c r="C9" s="25" t="n"/>
    </row>
    <row r="10">
      <c r="B10" s="24" t="inlineStr">
        <is>
          <t>Rel score (1-5)</t>
        </is>
      </c>
      <c r="C10" s="25" t="n"/>
    </row>
    <row r="11">
      <c r="B11" s="24" t="inlineStr">
        <is>
          <t>Possibility (1-5)</t>
        </is>
      </c>
      <c r="C11" s="25" t="n"/>
    </row>
    <row r="12">
      <c r="B12" s="24" t="inlineStr">
        <is>
          <t>Category</t>
        </is>
      </c>
      <c r="C12" s="25" t="n"/>
    </row>
    <row r="13">
      <c r="B13" s="24" t="inlineStr">
        <is>
          <t>Stage</t>
        </is>
      </c>
      <c r="C13" s="25" t="n"/>
    </row>
    <row r="14">
      <c r="B14" s="24" t="inlineStr">
        <is>
          <t>Approach Status</t>
        </is>
      </c>
      <c r="C14" s="25" t="n"/>
    </row>
    <row r="15">
      <c r="B15" s="24" t="inlineStr">
        <is>
          <t>Next Action</t>
        </is>
      </c>
      <c r="C15" s="25" t="n"/>
    </row>
    <row r="16">
      <c r="B16" s="24" t="inlineStr">
        <is>
          <t>Next Touch Date</t>
        </is>
      </c>
      <c r="C16" s="25" t="n"/>
    </row>
    <row r="17">
      <c r="B17" s="24" t="inlineStr">
        <is>
          <t>Birthday (yyyy-mm-dd)</t>
        </is>
      </c>
      <c r="C17" s="25" t="n"/>
    </row>
    <row r="18">
      <c r="B18" s="24" t="inlineStr">
        <is>
          <t>Referral Asked?</t>
        </is>
      </c>
      <c r="C18" s="25" t="n"/>
    </row>
    <row r="19">
      <c r="B19" s="24" t="inlineStr">
        <is>
          <t>Job</t>
        </is>
      </c>
      <c r="C19" s="25" t="n"/>
    </row>
    <row r="20">
      <c r="B20" s="24" t="inlineStr">
        <is>
          <t>Area</t>
        </is>
      </c>
      <c r="C20" s="25" t="n"/>
    </row>
    <row r="21">
      <c r="B21" s="24" t="inlineStr">
        <is>
          <t>Income</t>
        </is>
      </c>
      <c r="C21" s="25" t="n"/>
    </row>
    <row r="22">
      <c r="B22" s="24" t="inlineStr">
        <is>
          <t>Product Interest</t>
        </is>
      </c>
      <c r="C22" s="25" t="n"/>
    </row>
    <row r="23">
      <c r="B23" s="24" t="inlineStr">
        <is>
          <t>Remarks</t>
        </is>
      </c>
      <c r="C23" s="25" t="n"/>
    </row>
    <row r="26">
      <c r="B26" s="26" t="inlineStr">
        <is>
          <t>▼ Copy this row (select entire row) → paste in Clients</t>
        </is>
      </c>
    </row>
    <row r="27">
      <c r="A27" s="23" t="inlineStr">
        <is>
          <t>Rank</t>
        </is>
      </c>
      <c r="B27" s="23" t="inlineStr">
        <is>
          <t>Category</t>
        </is>
      </c>
      <c r="C27" s="23" t="inlineStr">
        <is>
          <t>Score</t>
        </is>
      </c>
      <c r="D27" s="23" t="inlineStr">
        <is>
          <t>Next Action</t>
        </is>
      </c>
      <c r="E27" s="23" t="inlineStr">
        <is>
          <t>Stage</t>
        </is>
      </c>
      <c r="F27" s="23" t="inlineStr">
        <is>
          <t>Client?</t>
        </is>
      </c>
      <c r="G27" s="23" t="inlineStr">
        <is>
          <t>English Name</t>
        </is>
      </c>
      <c r="H27" s="23" t="inlineStr">
        <is>
          <t>Nickname</t>
        </is>
      </c>
      <c r="I27" s="23" t="inlineStr">
        <is>
          <t>Phone</t>
        </is>
      </c>
      <c r="J27" s="23" t="inlineStr">
        <is>
          <t>Gender</t>
        </is>
      </c>
      <c r="K27" s="23" t="inlineStr">
        <is>
          <t>Age</t>
        </is>
      </c>
      <c r="L27" s="23" t="inlineStr">
        <is>
          <t>Relationship</t>
        </is>
      </c>
      <c r="M27" s="23" t="inlineStr">
        <is>
          <t>Rel (1-5)</t>
        </is>
      </c>
      <c r="N27" s="23" t="inlineStr">
        <is>
          <t>Poss (1-5)</t>
        </is>
      </c>
      <c r="O27" s="23" t="inlineStr">
        <is>
          <t>Job</t>
        </is>
      </c>
      <c r="P27" s="23" t="inlineStr">
        <is>
          <t>Area</t>
        </is>
      </c>
      <c r="Q27" s="23" t="inlineStr">
        <is>
          <t>Income</t>
        </is>
      </c>
      <c r="R27" s="23" t="inlineStr">
        <is>
          <t>Product Interest</t>
        </is>
      </c>
      <c r="S27" s="23" t="inlineStr">
        <is>
          <t>Remarks</t>
        </is>
      </c>
      <c r="T27" s="23" t="inlineStr">
        <is>
          <t>Last Note</t>
        </is>
      </c>
      <c r="U27" s="23" t="inlineStr">
        <is>
          <t>Approach Status</t>
        </is>
      </c>
      <c r="V27" s="23" t="inlineStr">
        <is>
          <t>Next Touch Date</t>
        </is>
      </c>
      <c r="W27" s="23" t="inlineStr">
        <is>
          <t>Birthday</t>
        </is>
      </c>
      <c r="X27" s="23" t="inlineStr">
        <is>
          <t>Days to Birthday</t>
        </is>
      </c>
      <c r="Y27" s="23" t="inlineStr">
        <is>
          <t>Birthday ≤30d?</t>
        </is>
      </c>
      <c r="Z27" s="23" t="inlineStr">
        <is>
          <t>Referral Tier</t>
        </is>
      </c>
      <c r="AA27" s="23" t="inlineStr">
        <is>
          <t>Referral Asked?</t>
        </is>
      </c>
      <c r="AB27" s="23" t="inlineStr">
        <is>
          <t>Referrals Given</t>
        </is>
      </c>
      <c r="AC27" s="23" t="inlineStr">
        <is>
          <t>Referred By</t>
        </is>
      </c>
      <c r="AD27" s="23" t="inlineStr">
        <is>
          <t>Last Referral Date</t>
        </is>
      </c>
      <c r="AE27" s="23" t="inlineStr">
        <is>
          <t>Referral Notes</t>
        </is>
      </c>
      <c r="AF27" s="23" t="inlineStr">
        <is>
          <t>L0</t>
        </is>
      </c>
      <c r="AG27" s="23" t="inlineStr">
        <is>
          <t>L1</t>
        </is>
      </c>
      <c r="AH27" s="23" t="inlineStr">
        <is>
          <t>L2</t>
        </is>
      </c>
    </row>
    <row r="28">
      <c r="A28" s="27" t="n"/>
      <c r="B28" s="27">
        <f>$C$12</f>
        <v/>
      </c>
      <c r="C28" s="27">
        <f>IF($C$10="","",$C$10+$C$11)</f>
        <v/>
      </c>
      <c r="D28" s="27">
        <f>$C$15</f>
        <v/>
      </c>
      <c r="E28" s="27">
        <f>$C$13</f>
        <v/>
      </c>
      <c r="F28" s="27" t="n"/>
      <c r="G28" s="27">
        <f>$C$4</f>
        <v/>
      </c>
      <c r="H28" s="27">
        <f>$C$5</f>
        <v/>
      </c>
      <c r="I28" s="27">
        <f>$C$6</f>
        <v/>
      </c>
      <c r="J28" s="27">
        <f>$C$7</f>
        <v/>
      </c>
      <c r="K28" s="27">
        <f>$C$8</f>
        <v/>
      </c>
      <c r="L28" s="27">
        <f>$C$9</f>
        <v/>
      </c>
      <c r="M28" s="27">
        <f>$C$10</f>
        <v/>
      </c>
      <c r="N28" s="27">
        <f>$C$11</f>
        <v/>
      </c>
      <c r="O28" s="27">
        <f>$C$19</f>
        <v/>
      </c>
      <c r="P28" s="27">
        <f>$C$20</f>
        <v/>
      </c>
      <c r="Q28" s="27">
        <f>$C$21</f>
        <v/>
      </c>
      <c r="R28" s="27">
        <f>$C$22</f>
        <v/>
      </c>
      <c r="S28" s="27">
        <f>$C$23</f>
        <v/>
      </c>
      <c r="T28" s="27" t="n"/>
      <c r="U28" s="27">
        <f>$C$14</f>
        <v/>
      </c>
      <c r="V28" s="28">
        <f>$C$16</f>
        <v/>
      </c>
      <c r="W28" s="28">
        <f>$C$17</f>
        <v/>
      </c>
      <c r="X28" s="27">
        <f>IF($W28="","",IF(DATE(YEAR(TODAY()),MONTH($W28),DAY($W28))&gt;=TODAY(),DATE(YEAR(TODAY()),MONTH($W28),DAY($W28))-TODAY(),DATE(YEAR(TODAY())+1,MONTH($W28),DAY($W28))-TODAY()))</f>
        <v/>
      </c>
      <c r="Y28" s="27">
        <f>IF($X28="","",IF($X28&lt;=30,"YES",""))</f>
        <v/>
      </c>
      <c r="Z28" s="27">
        <f>IF($F28="Yes","Champion",IF($AB28&gt;=2,"Advocate",IF($AB28&gt;=1,"Referrer",IF($M28&gt;=4,"High Potential",IF($M28&gt;=3,"Standard","New"))))))</f>
        <v/>
      </c>
      <c r="AA28" s="27">
        <f>$C$18</f>
        <v/>
      </c>
      <c r="AB28" s="27" t="n"/>
      <c r="AC28" s="27" t="n"/>
      <c r="AD28" s="28" t="n"/>
      <c r="AE28" s="27" t="n"/>
      <c r="AF28" s="27" t="n"/>
      <c r="AG28" s="27" t="n"/>
      <c r="AH28" s="27" t="n"/>
    </row>
  </sheetData>
  <mergeCells count="3">
    <mergeCell ref="B26:F26"/>
    <mergeCell ref="B1:E1"/>
    <mergeCell ref="B2:E2"/>
  </mergeCells>
  <dataValidations count="5">
    <dataValidation sqref="C7" showDropDown="0" showInputMessage="0" showErrorMessage="0" allowBlank="1" errorTitle="Invalid value" error="Please pick from the list" type="list">
      <formula1>"Male,Female,Other"</formula1>
    </dataValidation>
    <dataValidation sqref="C12" showDropDown="0" showInputMessage="0" showErrorMessage="0" allowBlank="1" errorTitle="Invalid value" error="Please pick from the list" type="list">
      <formula1>"Hot,Warm,Nurture,Low,Client"</formula1>
    </dataValidation>
    <dataValidation sqref="C13" showDropDown="0" showInputMessage="0" showErrorMessage="0" allowBlank="1" errorTitle="Invalid value" error="Please pick from the list" type="list">
      <formula1>"NEW,L0,L1,L2,L3"</formula1>
    </dataValidation>
    <dataValidation sqref="C14" showDropDown="0" showInputMessage="0" showErrorMessage="0" allowBlank="1" errorTitle="Invalid value" error="Please pick from the list" type="list">
      <formula1>"Not contacted,First contact,Meeting scheduled,Needs analysis,Quoted,Follow-up,Negotiating,Won - pending,Active client,Referral partner,Nurture,Lost"</formula1>
    </dataValidation>
    <dataValidation sqref="C18" showDropDown="0" showInputMessage="0" showErrorMessage="0" allowBlank="1" errorTitle="Invalid value" error="Please pick from the list" type="list">
      <formula1>"No,Yes - declined,Yes - will refer,Yes - referred someone"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AH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7" customWidth="1" min="3" max="3"/>
    <col width="28" customWidth="1" min="4" max="4"/>
    <col width="8" customWidth="1" min="5" max="5"/>
    <col width="8" customWidth="1" min="6" max="6"/>
    <col width="18" customWidth="1" min="7" max="7"/>
    <col width="12" customWidth="1" min="8" max="8"/>
    <col width="11" customWidth="1" min="9" max="9"/>
    <col width="8" customWidth="1" min="10" max="10"/>
    <col width="6" customWidth="1" min="11" max="11"/>
    <col width="14" customWidth="1" min="12" max="12"/>
    <col width="6" customWidth="1" min="13" max="13"/>
    <col width="6" customWidth="1" min="14" max="14"/>
    <col width="14" customWidth="1" min="15" max="15"/>
    <col width="12" customWidth="1" min="16" max="16"/>
    <col width="16" customWidth="1" min="18" max="18"/>
    <col width="24" customWidth="1" min="19" max="19"/>
    <col width="16" customWidth="1" min="21" max="21"/>
    <col width="14" customWidth="1" min="22" max="22"/>
    <col width="12" customWidth="1" min="23" max="23"/>
    <col width="10" customWidth="1" min="24" max="24"/>
    <col width="10" customWidth="1" min="25" max="25"/>
    <col width="14" customWidth="1" min="26" max="26"/>
    <col width="14" customWidth="1" min="27" max="27"/>
    <col width="8" customWidth="1" min="28" max="28"/>
    <col width="20" customWidth="1" min="31" max="31"/>
  </cols>
  <sheetData>
    <row r="1" ht="32" customHeight="1">
      <c r="A1" s="29" t="inlineStr">
        <is>
          <t>Client Pipeline  |  徐語希管理組 · 龍浩賢  |  Referral + Birthday enabled</t>
        </is>
      </c>
    </row>
    <row r="2" ht="36" customHeight="1">
      <c r="A2" s="23" t="inlineStr">
        <is>
          <t>Rank</t>
        </is>
      </c>
      <c r="B2" s="23" t="inlineStr">
        <is>
          <t>Category</t>
        </is>
      </c>
      <c r="C2" s="23" t="inlineStr">
        <is>
          <t>Score</t>
        </is>
      </c>
      <c r="D2" s="23" t="inlineStr">
        <is>
          <t>Next Action</t>
        </is>
      </c>
      <c r="E2" s="23" t="inlineStr">
        <is>
          <t>Stage</t>
        </is>
      </c>
      <c r="F2" s="23" t="inlineStr">
        <is>
          <t>Client?</t>
        </is>
      </c>
      <c r="G2" s="23" t="inlineStr">
        <is>
          <t>English Name</t>
        </is>
      </c>
      <c r="H2" s="23" t="inlineStr">
        <is>
          <t>Nickname</t>
        </is>
      </c>
      <c r="I2" s="23" t="inlineStr">
        <is>
          <t>Phone</t>
        </is>
      </c>
      <c r="J2" s="23" t="inlineStr">
        <is>
          <t>Gender</t>
        </is>
      </c>
      <c r="K2" s="23" t="inlineStr">
        <is>
          <t>Age</t>
        </is>
      </c>
      <c r="L2" s="23" t="inlineStr">
        <is>
          <t>Relationship</t>
        </is>
      </c>
      <c r="M2" s="23" t="inlineStr">
        <is>
          <t>Rel (1-5)</t>
        </is>
      </c>
      <c r="N2" s="23" t="inlineStr">
        <is>
          <t>Poss (1-5)</t>
        </is>
      </c>
      <c r="O2" s="23" t="inlineStr">
        <is>
          <t>Job</t>
        </is>
      </c>
      <c r="P2" s="23" t="inlineStr">
        <is>
          <t>Area</t>
        </is>
      </c>
      <c r="Q2" s="23" t="inlineStr">
        <is>
          <t>Income</t>
        </is>
      </c>
      <c r="R2" s="23" t="inlineStr">
        <is>
          <t>Product Interest</t>
        </is>
      </c>
      <c r="S2" s="23" t="inlineStr">
        <is>
          <t>Remarks</t>
        </is>
      </c>
      <c r="T2" s="23" t="inlineStr">
        <is>
          <t>Last Note</t>
        </is>
      </c>
      <c r="U2" s="23" t="inlineStr">
        <is>
          <t>Approach Status</t>
        </is>
      </c>
      <c r="V2" s="23" t="inlineStr">
        <is>
          <t>Next Touch Date</t>
        </is>
      </c>
      <c r="W2" s="23" t="inlineStr">
        <is>
          <t>Birthday</t>
        </is>
      </c>
      <c r="X2" s="23" t="inlineStr">
        <is>
          <t>Days to Birthday</t>
        </is>
      </c>
      <c r="Y2" s="23" t="inlineStr">
        <is>
          <t>Birthday ≤30d?</t>
        </is>
      </c>
      <c r="Z2" s="23" t="inlineStr">
        <is>
          <t>Referral Tier</t>
        </is>
      </c>
      <c r="AA2" s="23" t="inlineStr">
        <is>
          <t>Referral Asked?</t>
        </is>
      </c>
      <c r="AB2" s="23" t="inlineStr">
        <is>
          <t>Referrals Given</t>
        </is>
      </c>
      <c r="AC2" s="23" t="inlineStr">
        <is>
          <t>Referred By</t>
        </is>
      </c>
      <c r="AD2" s="23" t="inlineStr">
        <is>
          <t>Last Referral Date</t>
        </is>
      </c>
      <c r="AE2" s="23" t="inlineStr">
        <is>
          <t>Referral Notes</t>
        </is>
      </c>
      <c r="AF2" s="23" t="inlineStr">
        <is>
          <t>L0</t>
        </is>
      </c>
      <c r="AG2" s="23" t="inlineStr">
        <is>
          <t>L1</t>
        </is>
      </c>
      <c r="AH2" s="23" t="inlineStr">
        <is>
          <t>L2</t>
        </is>
      </c>
    </row>
    <row r="3">
      <c r="A3" s="30" t="n">
        <v>1</v>
      </c>
      <c r="B3" s="30" t="inlineStr">
        <is>
          <t>Client</t>
        </is>
      </c>
      <c r="C3" s="30" t="n">
        <v>13</v>
      </c>
      <c r="D3" s="31" t="inlineStr">
        <is>
          <t>child funds</t>
        </is>
      </c>
      <c r="E3" s="30" t="inlineStr">
        <is>
          <t>NEW</t>
        </is>
      </c>
      <c r="F3" s="30" t="inlineStr">
        <is>
          <t>Yes</t>
        </is>
      </c>
      <c r="G3" s="30" t="inlineStr">
        <is>
          <t>Lung On Yi</t>
        </is>
      </c>
      <c r="H3" s="30" t="inlineStr">
        <is>
          <t>Rhian</t>
        </is>
      </c>
      <c r="I3" s="32" t="inlineStr">
        <is>
          <t>53408333</t>
        </is>
      </c>
      <c r="J3" s="30" t="inlineStr">
        <is>
          <t>Female</t>
        </is>
      </c>
      <c r="K3" s="30" t="n">
        <v>28</v>
      </c>
      <c r="L3" s="30" t="inlineStr">
        <is>
          <t>Sister</t>
        </is>
      </c>
      <c r="M3" s="30" t="n">
        <v>5</v>
      </c>
      <c r="N3" s="30" t="n">
        <v>3</v>
      </c>
      <c r="O3" s="30" t="inlineStr">
        <is>
          <t>Nurse</t>
        </is>
      </c>
      <c r="P3" s="30" t="inlineStr">
        <is>
          <t>Tin Shui Wai</t>
        </is>
      </c>
      <c r="Q3" s="30" t="inlineStr">
        <is>
          <t>$62000</t>
        </is>
      </c>
      <c r="R3" s="31" t="n"/>
      <c r="S3" s="31" t="n"/>
      <c r="T3" s="30" t="n"/>
      <c r="U3" s="30" t="inlineStr">
        <is>
          <t>Active client</t>
        </is>
      </c>
      <c r="V3" s="33" t="n"/>
      <c r="W3" s="33" t="n"/>
      <c r="X3">
        <f>IF($W3="","",IF(DATE(YEAR(TODAY()),MONTH($W3),DAY($W3))&gt;=TODAY(),DATE(YEAR(TODAY()),MONTH($W3),DAY($W3))-TODAY(),DATE(YEAR(TODAY())+1,MONTH($W3),DAY($W3))-TODAY()))</f>
        <v/>
      </c>
      <c r="Y3">
        <f>IF($X3="","",IF($X3&lt;=30,"YES",""))</f>
        <v/>
      </c>
      <c r="Z3" s="30">
        <f>IF($F3="Yes","Champion",IF($AB3&gt;=2,"Advocate",IF($AB3&gt;=1,"Referrer",IF($M3&gt;=4,"High Potential",IF($M3&gt;=3,"Standard","New"))))))</f>
        <v/>
      </c>
      <c r="AA3" s="30" t="inlineStr">
        <is>
          <t>No</t>
        </is>
      </c>
      <c r="AB3" s="30" t="n">
        <v>0</v>
      </c>
      <c r="AC3" s="30" t="n"/>
      <c r="AD3" s="33" t="n"/>
      <c r="AE3" s="31" t="n"/>
      <c r="AF3" s="30" t="n"/>
      <c r="AG3" s="30" t="n"/>
      <c r="AH3" s="30" t="n"/>
    </row>
    <row r="4">
      <c r="A4" s="34" t="n">
        <v>2</v>
      </c>
      <c r="B4" s="34" t="inlineStr">
        <is>
          <t>Client</t>
        </is>
      </c>
      <c r="C4" s="34" t="n">
        <v>12</v>
      </c>
      <c r="D4" s="35" t="inlineStr">
        <is>
          <t>Follow up saving</t>
        </is>
      </c>
      <c r="E4" s="34" t="inlineStr">
        <is>
          <t>L1</t>
        </is>
      </c>
      <c r="F4" s="34" t="inlineStr">
        <is>
          <t>Yes</t>
        </is>
      </c>
      <c r="G4" s="34" t="inlineStr">
        <is>
          <t>Yu Chun Kit</t>
        </is>
      </c>
      <c r="H4" s="34" t="inlineStr">
        <is>
          <t>Fish</t>
        </is>
      </c>
      <c r="I4" s="36" t="inlineStr">
        <is>
          <t>51999624</t>
        </is>
      </c>
      <c r="J4" s="34" t="inlineStr">
        <is>
          <t>Male</t>
        </is>
      </c>
      <c r="K4" s="34" t="n">
        <v>23</v>
      </c>
      <c r="L4" s="34" t="inlineStr">
        <is>
          <t>Friend</t>
        </is>
      </c>
      <c r="M4" s="34" t="n">
        <v>3</v>
      </c>
      <c r="N4" s="34" t="n">
        <v>2</v>
      </c>
      <c r="O4" s="34" t="inlineStr">
        <is>
          <t>Engineer</t>
        </is>
      </c>
      <c r="P4" s="34" t="inlineStr">
        <is>
          <t>Wong Chun Hang</t>
        </is>
      </c>
      <c r="Q4" s="34" t="inlineStr">
        <is>
          <t>$23000</t>
        </is>
      </c>
      <c r="R4" s="35" t="inlineStr">
        <is>
          <t>CI</t>
        </is>
      </c>
      <c r="S4" s="35" t="inlineStr">
        <is>
          <t>follow up ci (5,573.1)</t>
        </is>
      </c>
      <c r="T4" s="34" t="inlineStr">
        <is>
          <t>Nex apt 3/21</t>
        </is>
      </c>
      <c r="U4" s="34" t="inlineStr">
        <is>
          <t>Active client</t>
        </is>
      </c>
      <c r="V4" s="37" t="n"/>
      <c r="W4" s="37" t="n"/>
      <c r="X4">
        <f>IF($W4="","",IF(DATE(YEAR(TODAY()),MONTH($W4),DAY($W4))&gt;=TODAY(),DATE(YEAR(TODAY()),MONTH($W4),DAY($W4))-TODAY(),DATE(YEAR(TODAY())+1,MONTH($W4),DAY($W4))-TODAY()))</f>
        <v/>
      </c>
      <c r="Y4">
        <f>IF($X4="","",IF($X4&lt;=30,"YES",""))</f>
        <v/>
      </c>
      <c r="Z4" s="34">
        <f>IF($F4="Yes","Champion",IF($AB4&gt;=2,"Advocate",IF($AB4&gt;=1,"Referrer",IF($M4&gt;=4,"High Potential",IF($M4&gt;=3,"Standard","New"))))))</f>
        <v/>
      </c>
      <c r="AA4" s="34" t="inlineStr">
        <is>
          <t>No</t>
        </is>
      </c>
      <c r="AB4" s="34" t="n">
        <v>0</v>
      </c>
      <c r="AC4" s="34" t="n"/>
      <c r="AD4" s="37" t="n"/>
      <c r="AE4" s="35" t="n"/>
      <c r="AF4" s="34" t="n"/>
      <c r="AG4" s="34" t="n"/>
      <c r="AH4" s="34" t="n"/>
    </row>
    <row r="5">
      <c r="A5" s="30" t="n">
        <v>3</v>
      </c>
      <c r="B5" s="30" t="inlineStr">
        <is>
          <t>Hot</t>
        </is>
      </c>
      <c r="C5" s="30" t="n">
        <v>11</v>
      </c>
      <c r="D5" s="31" t="inlineStr">
        <is>
          <t>Follow up GGG5 5000$ Wednesddday</t>
        </is>
      </c>
      <c r="E5" s="30" t="inlineStr">
        <is>
          <t>L2</t>
        </is>
      </c>
      <c r="F5" s="30" t="n"/>
      <c r="G5" s="30" t="inlineStr">
        <is>
          <t>Law Chun Kit</t>
        </is>
      </c>
      <c r="H5" s="30" t="inlineStr">
        <is>
          <t>Kelvin</t>
        </is>
      </c>
      <c r="I5" s="32" t="inlineStr">
        <is>
          <t>52663929</t>
        </is>
      </c>
      <c r="J5" s="30" t="inlineStr">
        <is>
          <t>Male</t>
        </is>
      </c>
      <c r="K5" s="30" t="n">
        <v>23</v>
      </c>
      <c r="L5" s="30" t="inlineStr">
        <is>
          <t>Friend</t>
        </is>
      </c>
      <c r="M5" s="30" t="n">
        <v>3</v>
      </c>
      <c r="N5" s="30" t="n">
        <v>2</v>
      </c>
      <c r="O5" s="30" t="inlineStr">
        <is>
          <t>Customer service</t>
        </is>
      </c>
      <c r="P5" s="30" t="inlineStr">
        <is>
          <t>Central</t>
        </is>
      </c>
      <c r="Q5" s="30" t="inlineStr">
        <is>
          <t>$20000</t>
        </is>
      </c>
      <c r="R5" s="31" t="inlineStr">
        <is>
          <t>Savings/EFG</t>
        </is>
      </c>
      <c r="S5" s="31" t="inlineStr">
        <is>
          <t>follow up EFG 5 (17,100) on 3/15</t>
        </is>
      </c>
      <c r="T5" s="30" t="inlineStr">
        <is>
          <t>Nex apt 3/15</t>
        </is>
      </c>
      <c r="U5" s="30" t="inlineStr">
        <is>
          <t>Quoted</t>
        </is>
      </c>
      <c r="V5" s="33" t="n"/>
      <c r="W5" s="33" t="n"/>
      <c r="X5">
        <f>IF($W5="","",IF(DATE(YEAR(TODAY()),MONTH($W5),DAY($W5))&gt;=TODAY(),DATE(YEAR(TODAY()),MONTH($W5),DAY($W5))-TODAY(),DATE(YEAR(TODAY())+1,MONTH($W5),DAY($W5))-TODAY()))</f>
        <v/>
      </c>
      <c r="Y5">
        <f>IF($X5="","",IF($X5&lt;=30,"YES",""))</f>
        <v/>
      </c>
      <c r="Z5" s="30">
        <f>IF($F5="Yes","Champion",IF($AB5&gt;=2,"Advocate",IF($AB5&gt;=1,"Referrer",IF($M5&gt;=4,"High Potential",IF($M5&gt;=3,"Standard","New"))))))</f>
        <v/>
      </c>
      <c r="AA5" s="30" t="inlineStr">
        <is>
          <t>No</t>
        </is>
      </c>
      <c r="AB5" s="30" t="n">
        <v>0</v>
      </c>
      <c r="AC5" s="30" t="n"/>
      <c r="AD5" s="33" t="n"/>
      <c r="AE5" s="31" t="n"/>
      <c r="AF5" s="30" t="n"/>
      <c r="AG5" s="30" t="n"/>
      <c r="AH5" s="30" t="n"/>
    </row>
    <row r="6">
      <c r="A6" s="34" t="n">
        <v>4</v>
      </c>
      <c r="B6" s="34" t="inlineStr">
        <is>
          <t>Client</t>
        </is>
      </c>
      <c r="C6" s="34" t="n">
        <v>11</v>
      </c>
      <c r="D6" s="35" t="n"/>
      <c r="E6" s="34" t="inlineStr">
        <is>
          <t>NEW</t>
        </is>
      </c>
      <c r="F6" s="34" t="inlineStr">
        <is>
          <t>Yes</t>
        </is>
      </c>
      <c r="G6" s="34" t="inlineStr">
        <is>
          <t>Leung Wai Ki</t>
        </is>
      </c>
      <c r="H6" s="34" t="inlineStr">
        <is>
          <t>Vicky</t>
        </is>
      </c>
      <c r="I6" s="36" t="inlineStr">
        <is>
          <t>91468762</t>
        </is>
      </c>
      <c r="J6" s="34" t="inlineStr">
        <is>
          <t>Female</t>
        </is>
      </c>
      <c r="K6" s="34" t="n">
        <v>24</v>
      </c>
      <c r="L6" s="34" t="inlineStr">
        <is>
          <t>Girlfriend</t>
        </is>
      </c>
      <c r="M6" s="34" t="n">
        <v>5</v>
      </c>
      <c r="N6" s="34" t="n">
        <v>3</v>
      </c>
      <c r="O6" s="34" t="inlineStr">
        <is>
          <t>Bank teller</t>
        </is>
      </c>
      <c r="P6" s="34" t="inlineStr">
        <is>
          <t>Tai Wai</t>
        </is>
      </c>
      <c r="Q6" s="34" t="inlineStr">
        <is>
          <t>$20000</t>
        </is>
      </c>
      <c r="R6" s="35" t="inlineStr">
        <is>
          <t>Savings/EFG</t>
        </is>
      </c>
      <c r="S6" s="35" t="inlineStr">
        <is>
          <t>GGG5</t>
        </is>
      </c>
      <c r="T6" s="34" t="n"/>
      <c r="U6" s="34" t="inlineStr">
        <is>
          <t>Active client</t>
        </is>
      </c>
      <c r="V6" s="37" t="n"/>
      <c r="W6" s="37" t="n"/>
      <c r="X6">
        <f>IF($W6="","",IF(DATE(YEAR(TODAY()),MONTH($W6),DAY($W6))&gt;=TODAY(),DATE(YEAR(TODAY()),MONTH($W6),DAY($W6))-TODAY(),DATE(YEAR(TODAY())+1,MONTH($W6),DAY($W6))-TODAY()))</f>
        <v/>
      </c>
      <c r="Y6">
        <f>IF($X6="","",IF($X6&lt;=30,"YES",""))</f>
        <v/>
      </c>
      <c r="Z6" s="34">
        <f>IF($F6="Yes","Champion",IF($AB6&gt;=2,"Advocate",IF($AB6&gt;=1,"Referrer",IF($M6&gt;=4,"High Potential",IF($M6&gt;=3,"Standard","New"))))))</f>
        <v/>
      </c>
      <c r="AA6" s="34" t="inlineStr">
        <is>
          <t>No</t>
        </is>
      </c>
      <c r="AB6" s="34" t="n">
        <v>0</v>
      </c>
      <c r="AC6" s="34" t="n"/>
      <c r="AD6" s="37" t="n"/>
      <c r="AE6" s="35" t="n"/>
      <c r="AF6" s="34" t="n"/>
      <c r="AG6" s="34" t="n"/>
      <c r="AH6" s="34" t="n"/>
    </row>
    <row r="7">
      <c r="A7" s="30" t="n">
        <v>5</v>
      </c>
      <c r="B7" s="30" t="inlineStr">
        <is>
          <t>Client</t>
        </is>
      </c>
      <c r="C7" s="30" t="n">
        <v>11</v>
      </c>
      <c r="D7" s="31" t="n"/>
      <c r="E7" s="30" t="inlineStr">
        <is>
          <t>NEW</t>
        </is>
      </c>
      <c r="F7" s="30" t="inlineStr">
        <is>
          <t>Yes</t>
        </is>
      </c>
      <c r="G7" s="30" t="inlineStr">
        <is>
          <t>Lung On Ki</t>
        </is>
      </c>
      <c r="H7" s="30" t="inlineStr">
        <is>
          <t>Angel</t>
        </is>
      </c>
      <c r="I7" s="32" t="inlineStr">
        <is>
          <t>68506999</t>
        </is>
      </c>
      <c r="J7" s="30" t="inlineStr">
        <is>
          <t>Female</t>
        </is>
      </c>
      <c r="K7" s="30" t="n">
        <v>25</v>
      </c>
      <c r="L7" s="30" t="inlineStr">
        <is>
          <t>Sister</t>
        </is>
      </c>
      <c r="M7" s="30" t="n">
        <v>5</v>
      </c>
      <c r="N7" s="30" t="n">
        <v>3</v>
      </c>
      <c r="O7" s="30" t="inlineStr">
        <is>
          <t>Nurse</t>
        </is>
      </c>
      <c r="P7" s="30" t="inlineStr">
        <is>
          <t>Wan Chai</t>
        </is>
      </c>
      <c r="Q7" s="30" t="inlineStr">
        <is>
          <t>$36000</t>
        </is>
      </c>
      <c r="R7" s="31" t="inlineStr">
        <is>
          <t>CI, Savings/EFG, SU</t>
        </is>
      </c>
      <c r="S7" s="31" t="inlineStr">
        <is>
          <t>su+EFG+ci</t>
        </is>
      </c>
      <c r="T7" s="30" t="n"/>
      <c r="U7" s="30" t="inlineStr">
        <is>
          <t>Active client</t>
        </is>
      </c>
      <c r="V7" s="33" t="n"/>
      <c r="W7" s="33" t="n"/>
      <c r="X7">
        <f>IF($W7="","",IF(DATE(YEAR(TODAY()),MONTH($W7),DAY($W7))&gt;=TODAY(),DATE(YEAR(TODAY()),MONTH($W7),DAY($W7))-TODAY(),DATE(YEAR(TODAY())+1,MONTH($W7),DAY($W7))-TODAY()))</f>
        <v/>
      </c>
      <c r="Y7">
        <f>IF($X7="","",IF($X7&lt;=30,"YES",""))</f>
        <v/>
      </c>
      <c r="Z7" s="30">
        <f>IF($F7="Yes","Champion",IF($AB7&gt;=2,"Advocate",IF($AB7&gt;=1,"Referrer",IF($M7&gt;=4,"High Potential",IF($M7&gt;=3,"Standard","New"))))))</f>
        <v/>
      </c>
      <c r="AA7" s="30" t="inlineStr">
        <is>
          <t>No</t>
        </is>
      </c>
      <c r="AB7" s="30" t="n">
        <v>0</v>
      </c>
      <c r="AC7" s="30" t="n"/>
      <c r="AD7" s="33" t="n"/>
      <c r="AE7" s="31" t="n"/>
      <c r="AF7" s="30" t="n"/>
      <c r="AG7" s="30" t="n"/>
      <c r="AH7" s="30" t="n"/>
    </row>
    <row r="8">
      <c r="A8" s="34" t="n">
        <v>6</v>
      </c>
      <c r="B8" s="34" t="inlineStr">
        <is>
          <t>Hot</t>
        </is>
      </c>
      <c r="C8" s="34" t="n">
        <v>10</v>
      </c>
      <c r="D8" s="35" t="inlineStr">
        <is>
          <t>Follow up medical (Staturday)</t>
        </is>
      </c>
      <c r="E8" s="34" t="inlineStr">
        <is>
          <t>L1</t>
        </is>
      </c>
      <c r="F8" s="34" t="n"/>
      <c r="G8" s="34" t="inlineStr">
        <is>
          <t>Chan Yong Chun</t>
        </is>
      </c>
      <c r="H8" s="34" t="inlineStr">
        <is>
          <t>Kelvin</t>
        </is>
      </c>
      <c r="I8" s="36" t="inlineStr">
        <is>
          <t>54095792</t>
        </is>
      </c>
      <c r="J8" s="34" t="inlineStr">
        <is>
          <t>Male</t>
        </is>
      </c>
      <c r="K8" s="34" t="n">
        <v>23</v>
      </c>
      <c r="L8" s="34" t="inlineStr">
        <is>
          <t>Friend</t>
        </is>
      </c>
      <c r="M8" s="34" t="n">
        <v>3</v>
      </c>
      <c r="N8" s="34" t="n">
        <v>2</v>
      </c>
      <c r="O8" s="34" t="inlineStr">
        <is>
          <t>Business analyst</t>
        </is>
      </c>
      <c r="P8" s="34" t="inlineStr">
        <is>
          <t>Wan Chai</t>
        </is>
      </c>
      <c r="Q8" s="34" t="inlineStr">
        <is>
          <t>$25000</t>
        </is>
      </c>
      <c r="R8" s="35" t="inlineStr">
        <is>
          <t>CI, Medical</t>
        </is>
      </c>
      <c r="S8" s="35" t="inlineStr">
        <is>
          <t>follow up ci (5,573.1)</t>
        </is>
      </c>
      <c r="T8" s="34" t="inlineStr">
        <is>
          <t>To be confirm</t>
        </is>
      </c>
      <c r="U8" s="34" t="inlineStr">
        <is>
          <t>Meeting scheduled</t>
        </is>
      </c>
      <c r="V8" s="37" t="n"/>
      <c r="W8" s="37" t="n"/>
      <c r="X8">
        <f>IF($W8="","",IF(DATE(YEAR(TODAY()),MONTH($W8),DAY($W8))&gt;=TODAY(),DATE(YEAR(TODAY()),MONTH($W8),DAY($W8))-TODAY(),DATE(YEAR(TODAY())+1,MONTH($W8),DAY($W8))-TODAY()))</f>
        <v/>
      </c>
      <c r="Y8">
        <f>IF($X8="","",IF($X8&lt;=30,"YES",""))</f>
        <v/>
      </c>
      <c r="Z8" s="34">
        <f>IF($F8="Yes","Champion",IF($AB8&gt;=2,"Advocate",IF($AB8&gt;=1,"Referrer",IF($M8&gt;=4,"High Potential",IF($M8&gt;=3,"Standard","New"))))))</f>
        <v/>
      </c>
      <c r="AA8" s="34" t="inlineStr">
        <is>
          <t>No</t>
        </is>
      </c>
      <c r="AB8" s="34" t="n">
        <v>0</v>
      </c>
      <c r="AC8" s="34" t="n"/>
      <c r="AD8" s="37" t="n"/>
      <c r="AE8" s="35" t="n"/>
      <c r="AF8" s="34" t="n"/>
      <c r="AG8" s="34" t="n"/>
      <c r="AH8" s="34" t="n"/>
    </row>
    <row r="9">
      <c r="A9" s="30" t="n">
        <v>7</v>
      </c>
      <c r="B9" s="30" t="inlineStr">
        <is>
          <t>Client</t>
        </is>
      </c>
      <c r="C9" s="30" t="n">
        <v>10</v>
      </c>
      <c r="D9" s="31" t="inlineStr">
        <is>
          <t>dinner on track 3000$ (GI/ Investment ) On 7/</t>
        </is>
      </c>
      <c r="E9" s="30" t="inlineStr">
        <is>
          <t>NEW</t>
        </is>
      </c>
      <c r="F9" s="30" t="inlineStr">
        <is>
          <t>Yes</t>
        </is>
      </c>
      <c r="G9" s="30" t="inlineStr">
        <is>
          <t>Cheung Chun Hei</t>
        </is>
      </c>
      <c r="H9" s="30" t="inlineStr">
        <is>
          <t>Jason</t>
        </is>
      </c>
      <c r="I9" s="32" t="inlineStr">
        <is>
          <t>61809023</t>
        </is>
      </c>
      <c r="J9" s="30" t="inlineStr">
        <is>
          <t>Male</t>
        </is>
      </c>
      <c r="K9" s="30" t="n">
        <v>23</v>
      </c>
      <c r="L9" s="30" t="inlineStr">
        <is>
          <t>Friend</t>
        </is>
      </c>
      <c r="M9" s="30" t="n">
        <v>3</v>
      </c>
      <c r="N9" s="30" t="n">
        <v>2</v>
      </c>
      <c r="O9" s="30" t="inlineStr">
        <is>
          <t>PT(Volley ball)</t>
        </is>
      </c>
      <c r="P9" s="30" t="inlineStr">
        <is>
          <t>Unknown</t>
        </is>
      </c>
      <c r="Q9" s="30" t="inlineStr">
        <is>
          <t>$6000</t>
        </is>
      </c>
      <c r="R9" s="31" t="inlineStr">
        <is>
          <t>GI</t>
        </is>
      </c>
      <c r="S9" s="31" t="n"/>
      <c r="T9" s="30" t="n"/>
      <c r="U9" s="30" t="inlineStr">
        <is>
          <t>Active client</t>
        </is>
      </c>
      <c r="V9" s="33" t="n"/>
      <c r="W9" s="33" t="n"/>
      <c r="X9">
        <f>IF($W9="","",IF(DATE(YEAR(TODAY()),MONTH($W9),DAY($W9))&gt;=TODAY(),DATE(YEAR(TODAY()),MONTH($W9),DAY($W9))-TODAY(),DATE(YEAR(TODAY())+1,MONTH($W9),DAY($W9))-TODAY()))</f>
        <v/>
      </c>
      <c r="Y9">
        <f>IF($X9="","",IF($X9&lt;=30,"YES",""))</f>
        <v/>
      </c>
      <c r="Z9" s="30">
        <f>IF($F9="Yes","Champion",IF($AB9&gt;=2,"Advocate",IF($AB9&gt;=1,"Referrer",IF($M9&gt;=4,"High Potential",IF($M9&gt;=3,"Standard","New"))))))</f>
        <v/>
      </c>
      <c r="AA9" s="30" t="inlineStr">
        <is>
          <t>No</t>
        </is>
      </c>
      <c r="AB9" s="30" t="n">
        <v>0</v>
      </c>
      <c r="AC9" s="30" t="n"/>
      <c r="AD9" s="33" t="n"/>
      <c r="AE9" s="31" t="n"/>
      <c r="AF9" s="30" t="n"/>
      <c r="AG9" s="30" t="n"/>
      <c r="AH9" s="30" t="n"/>
    </row>
    <row r="10">
      <c r="A10" s="34" t="n">
        <v>8</v>
      </c>
      <c r="B10" s="34" t="inlineStr">
        <is>
          <t>Hot</t>
        </is>
      </c>
      <c r="C10" s="34" t="n">
        <v>10</v>
      </c>
      <c r="D10" s="35" t="inlineStr">
        <is>
          <t>waiting travel back/ 8/3 GGG 2500$</t>
        </is>
      </c>
      <c r="E10" s="34" t="inlineStr">
        <is>
          <t>L1</t>
        </is>
      </c>
      <c r="F10" s="34" t="n"/>
      <c r="G10" s="34" t="inlineStr">
        <is>
          <t>Wong Tsz Ki</t>
        </is>
      </c>
      <c r="H10" s="34" t="inlineStr">
        <is>
          <t>Ricky</t>
        </is>
      </c>
      <c r="I10" s="36" t="inlineStr">
        <is>
          <t>65774651</t>
        </is>
      </c>
      <c r="J10" s="34" t="inlineStr">
        <is>
          <t>Male</t>
        </is>
      </c>
      <c r="K10" s="34" t="n">
        <v>23</v>
      </c>
      <c r="L10" s="34" t="inlineStr">
        <is>
          <t>Friend</t>
        </is>
      </c>
      <c r="M10" s="34" t="n">
        <v>3</v>
      </c>
      <c r="N10" s="34" t="n">
        <v>2</v>
      </c>
      <c r="O10" s="34" t="inlineStr">
        <is>
          <t>School Counselor</t>
        </is>
      </c>
      <c r="P10" s="34" t="inlineStr">
        <is>
          <t>Unknown</t>
        </is>
      </c>
      <c r="Q10" s="34" t="inlineStr">
        <is>
          <t>$16000</t>
        </is>
      </c>
      <c r="R10" s="35" t="inlineStr">
        <is>
          <t>CI, Savings/EFG, Medical</t>
        </is>
      </c>
      <c r="S10" s="35" t="inlineStr">
        <is>
          <t>follow up ci (5,573.1)+medic</t>
        </is>
      </c>
      <c r="T10" s="34" t="inlineStr">
        <is>
          <t>To be confirm</t>
        </is>
      </c>
      <c r="U10" s="34" t="inlineStr">
        <is>
          <t>Meeting scheduled</t>
        </is>
      </c>
      <c r="V10" s="37" t="n"/>
      <c r="W10" s="37" t="n"/>
      <c r="X10">
        <f>IF($W10="","",IF(DATE(YEAR(TODAY()),MONTH($W10),DAY($W10))&gt;=TODAY(),DATE(YEAR(TODAY()),MONTH($W10),DAY($W10))-TODAY(),DATE(YEAR(TODAY())+1,MONTH($W10),DAY($W10))-TODAY()))</f>
        <v/>
      </c>
      <c r="Y10">
        <f>IF($X10="","",IF($X10&lt;=30,"YES",""))</f>
        <v/>
      </c>
      <c r="Z10" s="34">
        <f>IF($F10="Yes","Champion",IF($AB10&gt;=2,"Advocate",IF($AB10&gt;=1,"Referrer",IF($M10&gt;=4,"High Potential",IF($M10&gt;=3,"Standard","New"))))))</f>
        <v/>
      </c>
      <c r="AA10" s="34" t="inlineStr">
        <is>
          <t>No</t>
        </is>
      </c>
      <c r="AB10" s="34" t="n">
        <v>0</v>
      </c>
      <c r="AC10" s="34" t="n"/>
      <c r="AD10" s="37" t="n"/>
      <c r="AE10" s="35" t="n"/>
      <c r="AF10" s="34" t="n"/>
      <c r="AG10" s="34" t="n"/>
      <c r="AH10" s="34" t="n"/>
    </row>
    <row r="11">
      <c r="A11" s="30" t="n">
        <v>9</v>
      </c>
      <c r="B11" s="30" t="inlineStr">
        <is>
          <t>Hot</t>
        </is>
      </c>
      <c r="C11" s="30" t="n">
        <v>9</v>
      </c>
      <c r="D11" s="31" t="inlineStr">
        <is>
          <t>FYC 8515 DONE/ Follow up GGG $200k Thursday</t>
        </is>
      </c>
      <c r="E11" s="30" t="inlineStr">
        <is>
          <t>L1</t>
        </is>
      </c>
      <c r="F11" s="30" t="n"/>
      <c r="G11" s="30" t="inlineStr">
        <is>
          <t>Avis Cheng</t>
        </is>
      </c>
      <c r="H11" s="30" t="inlineStr">
        <is>
          <t>Avis</t>
        </is>
      </c>
      <c r="I11" s="32" t="inlineStr">
        <is>
          <t>51123845</t>
        </is>
      </c>
      <c r="J11" s="30" t="inlineStr">
        <is>
          <t>Male</t>
        </is>
      </c>
      <c r="K11" s="30" t="n">
        <v>24</v>
      </c>
      <c r="L11" s="30" t="inlineStr">
        <is>
          <t>Friend</t>
        </is>
      </c>
      <c r="M11" s="30" t="n">
        <v>2</v>
      </c>
      <c r="N11" s="30" t="n">
        <v>2</v>
      </c>
      <c r="O11" s="30" t="inlineStr">
        <is>
          <t>It programer</t>
        </is>
      </c>
      <c r="P11" s="30" t="inlineStr">
        <is>
          <t>unknown</t>
        </is>
      </c>
      <c r="Q11" s="30" t="inlineStr">
        <is>
          <t>$22000</t>
        </is>
      </c>
      <c r="R11" s="31" t="inlineStr">
        <is>
          <t>CI, Savings/EFG, FYC</t>
        </is>
      </c>
      <c r="S11" s="31" t="inlineStr">
        <is>
          <t>follow up ci (5,573.1) + EFG 5</t>
        </is>
      </c>
      <c r="T11" s="30" t="inlineStr">
        <is>
          <t>3/11 appt</t>
        </is>
      </c>
      <c r="U11" s="30" t="inlineStr">
        <is>
          <t>Meeting scheduled</t>
        </is>
      </c>
      <c r="V11" s="33" t="n"/>
      <c r="W11" s="33" t="n"/>
      <c r="X11">
        <f>IF($W11="","",IF(DATE(YEAR(TODAY()),MONTH($W11),DAY($W11))&gt;=TODAY(),DATE(YEAR(TODAY()),MONTH($W11),DAY($W11))-TODAY(),DATE(YEAR(TODAY())+1,MONTH($W11),DAY($W11))-TODAY()))</f>
        <v/>
      </c>
      <c r="Y11">
        <f>IF($X11="","",IF($X11&lt;=30,"YES",""))</f>
        <v/>
      </c>
      <c r="Z11" s="30">
        <f>IF($F11="Yes","Champion",IF($AB11&gt;=2,"Advocate",IF($AB11&gt;=1,"Referrer",IF($M11&gt;=4,"High Potential",IF($M11&gt;=3,"Standard","New"))))))</f>
        <v/>
      </c>
      <c r="AA11" s="30" t="inlineStr">
        <is>
          <t>No</t>
        </is>
      </c>
      <c r="AB11" s="30" t="n">
        <v>0</v>
      </c>
      <c r="AC11" s="30" t="n"/>
      <c r="AD11" s="33" t="n"/>
      <c r="AE11" s="31" t="n"/>
      <c r="AF11" s="30" t="n"/>
      <c r="AG11" s="30" t="n"/>
      <c r="AH11" s="30" t="n"/>
    </row>
    <row r="12">
      <c r="A12" s="34" t="n">
        <v>10</v>
      </c>
      <c r="B12" s="34" t="inlineStr">
        <is>
          <t>Hot</t>
        </is>
      </c>
      <c r="C12" s="34" t="n">
        <v>9</v>
      </c>
      <c r="D12" s="35" t="inlineStr">
        <is>
          <t>follow up child edu funds $3000 WAITING</t>
        </is>
      </c>
      <c r="E12" s="34" t="inlineStr">
        <is>
          <t>NEW</t>
        </is>
      </c>
      <c r="F12" s="34" t="n"/>
      <c r="G12" s="34" t="inlineStr">
        <is>
          <t>Ken</t>
        </is>
      </c>
      <c r="H12" s="34" t="inlineStr">
        <is>
          <t>Ken</t>
        </is>
      </c>
      <c r="I12" s="36" t="inlineStr">
        <is>
          <t>91002495</t>
        </is>
      </c>
      <c r="J12" s="34" t="inlineStr">
        <is>
          <t>MALE</t>
        </is>
      </c>
      <c r="K12" s="34" t="n">
        <v>51</v>
      </c>
      <c r="L12" s="34" t="inlineStr">
        <is>
          <t>EXPO</t>
        </is>
      </c>
      <c r="M12" s="34" t="n">
        <v>3</v>
      </c>
      <c r="N12" s="34" t="n">
        <v>3</v>
      </c>
      <c r="O12" s="34" t="inlineStr">
        <is>
          <t>TRADING</t>
        </is>
      </c>
      <c r="P12" s="34" t="inlineStr">
        <is>
          <t>unknown</t>
        </is>
      </c>
      <c r="Q12" s="34" t="inlineStr">
        <is>
          <t>unknown</t>
        </is>
      </c>
      <c r="R12" s="35" t="n"/>
      <c r="S12" s="35" t="n"/>
      <c r="T12" s="34" t="n"/>
      <c r="U12" s="34" t="inlineStr">
        <is>
          <t>Not contacted</t>
        </is>
      </c>
      <c r="V12" s="37" t="n"/>
      <c r="W12" s="37" t="n"/>
      <c r="X12">
        <f>IF($W12="","",IF(DATE(YEAR(TODAY()),MONTH($W12),DAY($W12))&gt;=TODAY(),DATE(YEAR(TODAY()),MONTH($W12),DAY($W12))-TODAY(),DATE(YEAR(TODAY())+1,MONTH($W12),DAY($W12))-TODAY()))</f>
        <v/>
      </c>
      <c r="Y12">
        <f>IF($X12="","",IF($X12&lt;=30,"YES",""))</f>
        <v/>
      </c>
      <c r="Z12" s="34">
        <f>IF($F12="Yes","Champion",IF($AB12&gt;=2,"Advocate",IF($AB12&gt;=1,"Referrer",IF($M12&gt;=4,"High Potential",IF($M12&gt;=3,"Standard","New"))))))</f>
        <v/>
      </c>
      <c r="AA12" s="34" t="inlineStr">
        <is>
          <t>No</t>
        </is>
      </c>
      <c r="AB12" s="34" t="n">
        <v>0</v>
      </c>
      <c r="AC12" s="34" t="n"/>
      <c r="AD12" s="37" t="n"/>
      <c r="AE12" s="35" t="n"/>
      <c r="AF12" s="34" t="n"/>
      <c r="AG12" s="34" t="n"/>
      <c r="AH12" s="34" t="n"/>
    </row>
    <row r="13">
      <c r="A13" s="30" t="n">
        <v>11</v>
      </c>
      <c r="B13" s="30" t="inlineStr">
        <is>
          <t>Hot</t>
        </is>
      </c>
      <c r="C13" s="30" t="n">
        <v>9</v>
      </c>
      <c r="D13" s="31" t="inlineStr">
        <is>
          <t>follow up child edu funds $3000/</t>
        </is>
      </c>
      <c r="E13" s="30" t="inlineStr">
        <is>
          <t>NEW</t>
        </is>
      </c>
      <c r="F13" s="30" t="n"/>
      <c r="G13" s="30" t="inlineStr">
        <is>
          <t>Ms wong</t>
        </is>
      </c>
      <c r="H13" s="30" t="inlineStr">
        <is>
          <t>Ms wong</t>
        </is>
      </c>
      <c r="I13" s="32" t="inlineStr">
        <is>
          <t>53747947</t>
        </is>
      </c>
      <c r="J13" s="30" t="inlineStr">
        <is>
          <t>female</t>
        </is>
      </c>
      <c r="K13" s="30" t="n">
        <v>45</v>
      </c>
      <c r="L13" s="30" t="inlineStr">
        <is>
          <t>expo</t>
        </is>
      </c>
      <c r="M13" s="30" t="n">
        <v>3</v>
      </c>
      <c r="N13" s="30" t="n">
        <v>3</v>
      </c>
      <c r="O13" s="30" t="inlineStr">
        <is>
          <t>housewife</t>
        </is>
      </c>
      <c r="P13" s="30" t="inlineStr">
        <is>
          <t>unknown</t>
        </is>
      </c>
      <c r="Q13" s="30" t="inlineStr">
        <is>
          <t>unknown</t>
        </is>
      </c>
      <c r="R13" s="31" t="n"/>
      <c r="S13" s="31" t="n"/>
      <c r="T13" s="30" t="n"/>
      <c r="U13" s="30" t="inlineStr">
        <is>
          <t>Not contacted</t>
        </is>
      </c>
      <c r="V13" s="33" t="n"/>
      <c r="W13" s="33" t="n"/>
      <c r="X13">
        <f>IF($W13="","",IF(DATE(YEAR(TODAY()),MONTH($W13),DAY($W13))&gt;=TODAY(),DATE(YEAR(TODAY()),MONTH($W13),DAY($W13))-TODAY(),DATE(YEAR(TODAY())+1,MONTH($W13),DAY($W13))-TODAY()))</f>
        <v/>
      </c>
      <c r="Y13">
        <f>IF($X13="","",IF($X13&lt;=30,"YES",""))</f>
        <v/>
      </c>
      <c r="Z13" s="30">
        <f>IF($F13="Yes","Champion",IF($AB13&gt;=2,"Advocate",IF($AB13&gt;=1,"Referrer",IF($M13&gt;=4,"High Potential",IF($M13&gt;=3,"Standard","New"))))))</f>
        <v/>
      </c>
      <c r="AA13" s="30" t="inlineStr">
        <is>
          <t>No</t>
        </is>
      </c>
      <c r="AB13" s="30" t="n">
        <v>0</v>
      </c>
      <c r="AC13" s="30" t="n"/>
      <c r="AD13" s="33" t="n"/>
      <c r="AE13" s="31" t="n"/>
      <c r="AF13" s="30" t="n"/>
      <c r="AG13" s="30" t="n"/>
      <c r="AH13" s="30" t="n"/>
    </row>
    <row r="14">
      <c r="A14" s="34" t="n">
        <v>12</v>
      </c>
      <c r="B14" s="34" t="inlineStr">
        <is>
          <t>Hot</t>
        </is>
      </c>
      <c r="C14" s="34" t="n">
        <v>9</v>
      </c>
      <c r="D14" s="35" t="inlineStr">
        <is>
          <t>Follow up QDAP</t>
        </is>
      </c>
      <c r="E14" s="34" t="inlineStr">
        <is>
          <t>L0</t>
        </is>
      </c>
      <c r="F14" s="34" t="n"/>
      <c r="G14" s="34" t="inlineStr">
        <is>
          <t>Mui Chun Tat</t>
        </is>
      </c>
      <c r="H14" s="34" t="inlineStr">
        <is>
          <t>Tat</t>
        </is>
      </c>
      <c r="I14" s="36" t="inlineStr">
        <is>
          <t>54851118</t>
        </is>
      </c>
      <c r="J14" s="34" t="inlineStr">
        <is>
          <t>Male</t>
        </is>
      </c>
      <c r="K14" s="34" t="n">
        <v>23</v>
      </c>
      <c r="L14" s="34" t="inlineStr">
        <is>
          <t>Friend</t>
        </is>
      </c>
      <c r="M14" s="34" t="n">
        <v>3</v>
      </c>
      <c r="N14" s="34" t="n">
        <v>2</v>
      </c>
      <c r="O14" s="34" t="inlineStr">
        <is>
          <t>Teacher</t>
        </is>
      </c>
      <c r="P14" s="34" t="inlineStr">
        <is>
          <t>Tung Chung</t>
        </is>
      </c>
      <c r="Q14" s="34" t="inlineStr">
        <is>
          <t>$30000</t>
        </is>
      </c>
      <c r="R14" s="35" t="inlineStr">
        <is>
          <t>QDAP</t>
        </is>
      </c>
      <c r="S14" s="35" t="inlineStr">
        <is>
          <t>approch for Qdap life 10 (18000)</t>
        </is>
      </c>
      <c r="T14" s="34" t="n"/>
      <c r="U14" s="34" t="inlineStr">
        <is>
          <t>First contact</t>
        </is>
      </c>
      <c r="V14" s="37" t="n"/>
      <c r="W14" s="37" t="n"/>
      <c r="X14">
        <f>IF($W14="","",IF(DATE(YEAR(TODAY()),MONTH($W14),DAY($W14))&gt;=TODAY(),DATE(YEAR(TODAY()),MONTH($W14),DAY($W14))-TODAY(),DATE(YEAR(TODAY())+1,MONTH($W14),DAY($W14))-TODAY()))</f>
        <v/>
      </c>
      <c r="Y14">
        <f>IF($X14="","",IF($X14&lt;=30,"YES",""))</f>
        <v/>
      </c>
      <c r="Z14" s="34">
        <f>IF($F14="Yes","Champion",IF($AB14&gt;=2,"Advocate",IF($AB14&gt;=1,"Referrer",IF($M14&gt;=4,"High Potential",IF($M14&gt;=3,"Standard","New"))))))</f>
        <v/>
      </c>
      <c r="AA14" s="34" t="inlineStr">
        <is>
          <t>No</t>
        </is>
      </c>
      <c r="AB14" s="34" t="n">
        <v>0</v>
      </c>
      <c r="AC14" s="34" t="n"/>
      <c r="AD14" s="37" t="n"/>
      <c r="AE14" s="35" t="n"/>
      <c r="AF14" s="34" t="n"/>
      <c r="AG14" s="34" t="n"/>
      <c r="AH14" s="34" t="n"/>
    </row>
    <row r="15">
      <c r="A15" s="30" t="n">
        <v>13</v>
      </c>
      <c r="B15" s="30" t="inlineStr">
        <is>
          <t>Hot</t>
        </is>
      </c>
      <c r="C15" s="30" t="n">
        <v>9</v>
      </c>
      <c r="D15" s="31" t="inlineStr">
        <is>
          <t>Nex apt april</t>
        </is>
      </c>
      <c r="E15" s="30" t="inlineStr">
        <is>
          <t>L3</t>
        </is>
      </c>
      <c r="F15" s="30" t="n"/>
      <c r="G15" s="30" t="inlineStr">
        <is>
          <t>Ng Ki Yi</t>
        </is>
      </c>
      <c r="H15" s="30" t="inlineStr">
        <is>
          <t>Kelly</t>
        </is>
      </c>
      <c r="I15" s="32" t="inlineStr">
        <is>
          <t>61655660</t>
        </is>
      </c>
      <c r="J15" s="30" t="inlineStr">
        <is>
          <t>Female</t>
        </is>
      </c>
      <c r="K15" s="30" t="n">
        <v>23</v>
      </c>
      <c r="L15" s="30" t="inlineStr">
        <is>
          <t>Friend</t>
        </is>
      </c>
      <c r="M15" s="30" t="n">
        <v>3</v>
      </c>
      <c r="N15" s="30" t="n">
        <v>2</v>
      </c>
      <c r="O15" s="30" t="inlineStr">
        <is>
          <t>Kindergarten teacher</t>
        </is>
      </c>
      <c r="P15" s="30" t="inlineStr">
        <is>
          <t>Ho Man Tin</t>
        </is>
      </c>
      <c r="Q15" s="30" t="inlineStr">
        <is>
          <t>$25000</t>
        </is>
      </c>
      <c r="R15" s="31" t="inlineStr">
        <is>
          <t>CI, Savings/EFG</t>
        </is>
      </c>
      <c r="S15" s="31" t="inlineStr">
        <is>
          <t>GGG5 follow up ci (5,573.1) on april</t>
        </is>
      </c>
      <c r="T15" s="30" t="inlineStr">
        <is>
          <t>Nex apt april</t>
        </is>
      </c>
      <c r="U15" s="30" t="inlineStr">
        <is>
          <t>Negotiating</t>
        </is>
      </c>
      <c r="V15" s="33" t="n"/>
      <c r="W15" s="33" t="n"/>
      <c r="X15">
        <f>IF($W15="","",IF(DATE(YEAR(TODAY()),MONTH($W15),DAY($W15))&gt;=TODAY(),DATE(YEAR(TODAY()),MONTH($W15),DAY($W15))-TODAY(),DATE(YEAR(TODAY())+1,MONTH($W15),DAY($W15))-TODAY()))</f>
        <v/>
      </c>
      <c r="Y15">
        <f>IF($X15="","",IF($X15&lt;=30,"YES",""))</f>
        <v/>
      </c>
      <c r="Z15" s="30">
        <f>IF($F15="Yes","Champion",IF($AB15&gt;=2,"Advocate",IF($AB15&gt;=1,"Referrer",IF($M15&gt;=4,"High Potential",IF($M15&gt;=3,"Standard","New"))))))</f>
        <v/>
      </c>
      <c r="AA15" s="30" t="inlineStr">
        <is>
          <t>No</t>
        </is>
      </c>
      <c r="AB15" s="30" t="n">
        <v>0</v>
      </c>
      <c r="AC15" s="30" t="n"/>
      <c r="AD15" s="33" t="n"/>
      <c r="AE15" s="31" t="n"/>
      <c r="AF15" s="30" t="n"/>
      <c r="AG15" s="30" t="n"/>
      <c r="AH15" s="30" t="n"/>
    </row>
    <row r="16">
      <c r="A16" s="34" t="n">
        <v>14</v>
      </c>
      <c r="B16" s="34" t="inlineStr">
        <is>
          <t>Hot</t>
        </is>
      </c>
      <c r="C16" s="34" t="n">
        <v>9</v>
      </c>
      <c r="D16" s="35" t="inlineStr">
        <is>
          <t>follow up saving/ medical (to be confirm appt time )</t>
        </is>
      </c>
      <c r="E16" s="34" t="inlineStr">
        <is>
          <t>L0</t>
        </is>
      </c>
      <c r="F16" s="34" t="n"/>
      <c r="G16" s="34" t="inlineStr">
        <is>
          <t>Yuen Chun Hung</t>
        </is>
      </c>
      <c r="H16" s="34" t="inlineStr">
        <is>
          <t>Sunny</t>
        </is>
      </c>
      <c r="I16" s="36" t="inlineStr">
        <is>
          <t>56229813</t>
        </is>
      </c>
      <c r="J16" s="34" t="inlineStr">
        <is>
          <t>Male</t>
        </is>
      </c>
      <c r="K16" s="34" t="n">
        <v>23</v>
      </c>
      <c r="L16" s="34" t="inlineStr">
        <is>
          <t>Friend</t>
        </is>
      </c>
      <c r="M16" s="34" t="n">
        <v>3</v>
      </c>
      <c r="N16" s="34" t="n">
        <v>2</v>
      </c>
      <c r="O16" s="34" t="inlineStr">
        <is>
          <t>Nurse</t>
        </is>
      </c>
      <c r="P16" s="34" t="inlineStr">
        <is>
          <t>Unknown</t>
        </is>
      </c>
      <c r="Q16" s="34" t="inlineStr">
        <is>
          <t>35000</t>
        </is>
      </c>
      <c r="R16" s="35" t="inlineStr">
        <is>
          <t>CI, Savings/EFG, Medical</t>
        </is>
      </c>
      <c r="S16" s="35" t="inlineStr">
        <is>
          <t>CI (900) + MEDICAL (300) + EFG (4000)</t>
        </is>
      </c>
      <c r="T16" s="34" t="inlineStr">
        <is>
          <t>sta meeting</t>
        </is>
      </c>
      <c r="U16" s="34" t="inlineStr">
        <is>
          <t>First contact</t>
        </is>
      </c>
      <c r="V16" s="37" t="n"/>
      <c r="W16" s="37" t="n"/>
      <c r="X16">
        <f>IF($W16="","",IF(DATE(YEAR(TODAY()),MONTH($W16),DAY($W16))&gt;=TODAY(),DATE(YEAR(TODAY()),MONTH($W16),DAY($W16))-TODAY(),DATE(YEAR(TODAY())+1,MONTH($W16),DAY($W16))-TODAY()))</f>
        <v/>
      </c>
      <c r="Y16">
        <f>IF($X16="","",IF($X16&lt;=30,"YES",""))</f>
        <v/>
      </c>
      <c r="Z16" s="34">
        <f>IF($F16="Yes","Champion",IF($AB16&gt;=2,"Advocate",IF($AB16&gt;=1,"Referrer",IF($M16&gt;=4,"High Potential",IF($M16&gt;=3,"Standard","New"))))))</f>
        <v/>
      </c>
      <c r="AA16" s="34" t="inlineStr">
        <is>
          <t>No</t>
        </is>
      </c>
      <c r="AB16" s="34" t="n">
        <v>0</v>
      </c>
      <c r="AC16" s="34" t="n"/>
      <c r="AD16" s="37" t="n"/>
      <c r="AE16" s="35" t="n"/>
      <c r="AF16" s="34" t="n"/>
      <c r="AG16" s="34" t="n"/>
      <c r="AH16" s="34" t="n"/>
    </row>
    <row r="17">
      <c r="A17" s="30" t="n">
        <v>15</v>
      </c>
      <c r="B17" s="30" t="inlineStr">
        <is>
          <t>Hot</t>
        </is>
      </c>
      <c r="C17" s="30" t="n">
        <v>9</v>
      </c>
      <c r="D17" s="31" t="n"/>
      <c r="E17" s="30" t="inlineStr">
        <is>
          <t>NEW</t>
        </is>
      </c>
      <c r="F17" s="30" t="n"/>
      <c r="G17" s="30" t="inlineStr">
        <is>
          <t>Cheng Kwai Tai</t>
        </is>
      </c>
      <c r="H17" s="30" t="inlineStr">
        <is>
          <t>None</t>
        </is>
      </c>
      <c r="I17" s="32" t="inlineStr">
        <is>
          <t>64166451</t>
        </is>
      </c>
      <c r="J17" s="30" t="inlineStr">
        <is>
          <t>Female</t>
        </is>
      </c>
      <c r="K17" s="30" t="n">
        <v>56</v>
      </c>
      <c r="L17" s="30" t="inlineStr">
        <is>
          <t>Mum</t>
        </is>
      </c>
      <c r="M17" s="30" t="n">
        <v>5</v>
      </c>
      <c r="N17" s="30" t="n">
        <v>3</v>
      </c>
      <c r="O17" s="30" t="inlineStr">
        <is>
          <t>Construction worker</t>
        </is>
      </c>
      <c r="P17" s="30" t="inlineStr">
        <is>
          <t>Causeway bay</t>
        </is>
      </c>
      <c r="Q17" s="30" t="inlineStr">
        <is>
          <t>$30000</t>
        </is>
      </c>
      <c r="R17" s="31" t="n"/>
      <c r="S17" s="31" t="n"/>
      <c r="T17" s="30" t="n"/>
      <c r="U17" s="30" t="inlineStr">
        <is>
          <t>Not contacted</t>
        </is>
      </c>
      <c r="V17" s="33" t="n"/>
      <c r="W17" s="33" t="n"/>
      <c r="X17">
        <f>IF($W17="","",IF(DATE(YEAR(TODAY()),MONTH($W17),DAY($W17))&gt;=TODAY(),DATE(YEAR(TODAY()),MONTH($W17),DAY($W17))-TODAY(),DATE(YEAR(TODAY())+1,MONTH($W17),DAY($W17))-TODAY()))</f>
        <v/>
      </c>
      <c r="Y17">
        <f>IF($X17="","",IF($X17&lt;=30,"YES",""))</f>
        <v/>
      </c>
      <c r="Z17" s="30">
        <f>IF($F17="Yes","Champion",IF($AB17&gt;=2,"Advocate",IF($AB17&gt;=1,"Referrer",IF($M17&gt;=4,"High Potential",IF($M17&gt;=3,"Standard","New"))))))</f>
        <v/>
      </c>
      <c r="AA17" s="30" t="inlineStr">
        <is>
          <t>No</t>
        </is>
      </c>
      <c r="AB17" s="30" t="n">
        <v>0</v>
      </c>
      <c r="AC17" s="30" t="n"/>
      <c r="AD17" s="33" t="n"/>
      <c r="AE17" s="31" t="n"/>
      <c r="AF17" s="30" t="n"/>
      <c r="AG17" s="30" t="n"/>
      <c r="AH17" s="30" t="n"/>
    </row>
    <row r="18">
      <c r="A18" s="34" t="n">
        <v>16</v>
      </c>
      <c r="B18" s="34" t="inlineStr">
        <is>
          <t>Hot</t>
        </is>
      </c>
      <c r="C18" s="34" t="n">
        <v>8</v>
      </c>
      <c r="D18" s="35" t="inlineStr">
        <is>
          <t>Follow up on may assst $600000 (follow up on 2026)</t>
        </is>
      </c>
      <c r="E18" s="34" t="inlineStr">
        <is>
          <t>NEW</t>
        </is>
      </c>
      <c r="F18" s="34" t="n"/>
      <c r="G18" s="34" t="n"/>
      <c r="H18" s="34" t="inlineStr">
        <is>
          <t>Miss cheung</t>
        </is>
      </c>
      <c r="I18" s="36" t="inlineStr">
        <is>
          <t>97528151</t>
        </is>
      </c>
      <c r="J18" s="34" t="inlineStr">
        <is>
          <t>female</t>
        </is>
      </c>
      <c r="K18" s="34" t="n">
        <v>63</v>
      </c>
      <c r="L18" s="34" t="inlineStr">
        <is>
          <t>booth</t>
        </is>
      </c>
      <c r="M18" s="34" t="n">
        <v>3</v>
      </c>
      <c r="N18" s="34" t="n">
        <v>2</v>
      </c>
      <c r="O18" s="34" t="inlineStr">
        <is>
          <t>admin</t>
        </is>
      </c>
      <c r="P18" s="34" t="inlineStr">
        <is>
          <t>unknown</t>
        </is>
      </c>
      <c r="Q18" s="34" t="inlineStr">
        <is>
          <t>none</t>
        </is>
      </c>
      <c r="R18" s="35" t="n"/>
      <c r="S18" s="35" t="n"/>
      <c r="T18" s="34" t="n"/>
      <c r="U18" s="34" t="inlineStr">
        <is>
          <t>Not contacted</t>
        </is>
      </c>
      <c r="V18" s="37" t="n"/>
      <c r="W18" s="37" t="n"/>
      <c r="X18">
        <f>IF($W18="","",IF(DATE(YEAR(TODAY()),MONTH($W18),DAY($W18))&gt;=TODAY(),DATE(YEAR(TODAY()),MONTH($W18),DAY($W18))-TODAY(),DATE(YEAR(TODAY())+1,MONTH($W18),DAY($W18))-TODAY()))</f>
        <v/>
      </c>
      <c r="Y18">
        <f>IF($X18="","",IF($X18&lt;=30,"YES",""))</f>
        <v/>
      </c>
      <c r="Z18" s="34">
        <f>IF($F18="Yes","Champion",IF($AB18&gt;=2,"Advocate",IF($AB18&gt;=1,"Referrer",IF($M18&gt;=4,"High Potential",IF($M18&gt;=3,"Standard","New"))))))</f>
        <v/>
      </c>
      <c r="AA18" s="34" t="inlineStr">
        <is>
          <t>No</t>
        </is>
      </c>
      <c r="AB18" s="34" t="n">
        <v>0</v>
      </c>
      <c r="AC18" s="34" t="n"/>
      <c r="AD18" s="37" t="n"/>
      <c r="AE18" s="35" t="n"/>
      <c r="AF18" s="34" t="n"/>
      <c r="AG18" s="34" t="n"/>
      <c r="AH18" s="34" t="n"/>
    </row>
    <row r="19">
      <c r="A19" s="30" t="n">
        <v>17</v>
      </c>
      <c r="B19" s="30" t="inlineStr">
        <is>
          <t>Hot</t>
        </is>
      </c>
      <c r="C19" s="30" t="n">
        <v>8</v>
      </c>
      <c r="D19" s="31" t="inlineStr">
        <is>
          <t>Recurit target/ GI physio 7/4 recurit</t>
        </is>
      </c>
      <c r="E19" s="30" t="inlineStr">
        <is>
          <t>NEW</t>
        </is>
      </c>
      <c r="F19" s="30" t="n"/>
      <c r="G19" s="30" t="inlineStr">
        <is>
          <t>Law Ho Sing</t>
        </is>
      </c>
      <c r="H19" s="30" t="inlineStr">
        <is>
          <t>Tommy</t>
        </is>
      </c>
      <c r="I19" s="32" t="inlineStr">
        <is>
          <t>66535089</t>
        </is>
      </c>
      <c r="J19" s="30" t="inlineStr">
        <is>
          <t>Male</t>
        </is>
      </c>
      <c r="K19" s="30" t="n">
        <v>23</v>
      </c>
      <c r="L19" s="30" t="inlineStr">
        <is>
          <t>Friend</t>
        </is>
      </c>
      <c r="M19" s="30" t="n">
        <v>3</v>
      </c>
      <c r="N19" s="30" t="n">
        <v>2</v>
      </c>
      <c r="O19" s="30" t="inlineStr">
        <is>
          <t>PT(Gym)</t>
        </is>
      </c>
      <c r="P19" s="30" t="inlineStr">
        <is>
          <t>None</t>
        </is>
      </c>
      <c r="Q19" s="30" t="inlineStr">
        <is>
          <t>$5000</t>
        </is>
      </c>
      <c r="R19" s="31" t="inlineStr">
        <is>
          <t>Recruit, GI</t>
        </is>
      </c>
      <c r="S19" s="31" t="inlineStr">
        <is>
          <t>Protential recruit</t>
        </is>
      </c>
      <c r="T19" s="30" t="n"/>
      <c r="U19" s="30" t="inlineStr">
        <is>
          <t>Not contacted</t>
        </is>
      </c>
      <c r="V19" s="33" t="n"/>
      <c r="W19" s="33" t="n"/>
      <c r="X19">
        <f>IF($W19="","",IF(DATE(YEAR(TODAY()),MONTH($W19),DAY($W19))&gt;=TODAY(),DATE(YEAR(TODAY()),MONTH($W19),DAY($W19))-TODAY(),DATE(YEAR(TODAY())+1,MONTH($W19),DAY($W19))-TODAY()))</f>
        <v/>
      </c>
      <c r="Y19">
        <f>IF($X19="","",IF($X19&lt;=30,"YES",""))</f>
        <v/>
      </c>
      <c r="Z19" s="30">
        <f>IF($F19="Yes","Champion",IF($AB19&gt;=2,"Advocate",IF($AB19&gt;=1,"Referrer",IF($M19&gt;=4,"High Potential",IF($M19&gt;=3,"Standard","New"))))))</f>
        <v/>
      </c>
      <c r="AA19" s="30" t="inlineStr">
        <is>
          <t>No</t>
        </is>
      </c>
      <c r="AB19" s="30" t="n">
        <v>0</v>
      </c>
      <c r="AC19" s="30" t="n"/>
      <c r="AD19" s="33" t="n"/>
      <c r="AE19" s="31" t="n"/>
      <c r="AF19" s="30" t="n"/>
      <c r="AG19" s="30" t="n"/>
      <c r="AH19" s="30" t="n"/>
    </row>
    <row r="20">
      <c r="A20" s="34" t="n">
        <v>18</v>
      </c>
      <c r="B20" s="34" t="inlineStr">
        <is>
          <t>Hot</t>
        </is>
      </c>
      <c r="C20" s="34" t="n">
        <v>8</v>
      </c>
      <c r="D20" s="35" t="inlineStr">
        <is>
          <t>To be confirm</t>
        </is>
      </c>
      <c r="E20" s="34" t="inlineStr">
        <is>
          <t>L2</t>
        </is>
      </c>
      <c r="F20" s="34" t="n"/>
      <c r="G20" s="34" t="inlineStr">
        <is>
          <t>william wong</t>
        </is>
      </c>
      <c r="H20" s="34" t="inlineStr">
        <is>
          <t>William</t>
        </is>
      </c>
      <c r="I20" s="36" t="inlineStr">
        <is>
          <t>54228934</t>
        </is>
      </c>
      <c r="J20" s="34" t="inlineStr">
        <is>
          <t>Male</t>
        </is>
      </c>
      <c r="K20" s="34" t="n">
        <v>24</v>
      </c>
      <c r="L20" s="34" t="inlineStr">
        <is>
          <t>Friend</t>
        </is>
      </c>
      <c r="M20" s="34" t="n">
        <v>3</v>
      </c>
      <c r="N20" s="34" t="n">
        <v>1</v>
      </c>
      <c r="O20" s="34" t="inlineStr">
        <is>
          <t>It programer</t>
        </is>
      </c>
      <c r="P20" s="34" t="inlineStr">
        <is>
          <t>unknown</t>
        </is>
      </c>
      <c r="Q20" s="34" t="inlineStr">
        <is>
          <t>$20000</t>
        </is>
      </c>
      <c r="R20" s="35" t="inlineStr">
        <is>
          <t>CI</t>
        </is>
      </c>
      <c r="S20" s="35" t="inlineStr">
        <is>
          <t>follow up ci (5,573.1)</t>
        </is>
      </c>
      <c r="T20" s="34" t="inlineStr">
        <is>
          <t>To be confirm</t>
        </is>
      </c>
      <c r="U20" s="34" t="inlineStr">
        <is>
          <t>Quoted</t>
        </is>
      </c>
      <c r="V20" s="37" t="n"/>
      <c r="W20" s="37" t="n"/>
      <c r="X20">
        <f>IF($W20="","",IF(DATE(YEAR(TODAY()),MONTH($W20),DAY($W20))&gt;=TODAY(),DATE(YEAR(TODAY()),MONTH($W20),DAY($W20))-TODAY(),DATE(YEAR(TODAY())+1,MONTH($W20),DAY($W20))-TODAY()))</f>
        <v/>
      </c>
      <c r="Y20">
        <f>IF($X20="","",IF($X20&lt;=30,"YES",""))</f>
        <v/>
      </c>
      <c r="Z20" s="34">
        <f>IF($F20="Yes","Champion",IF($AB20&gt;=2,"Advocate",IF($AB20&gt;=1,"Referrer",IF($M20&gt;=4,"High Potential",IF($M20&gt;=3,"Standard","New"))))))</f>
        <v/>
      </c>
      <c r="AA20" s="34" t="inlineStr">
        <is>
          <t>No</t>
        </is>
      </c>
      <c r="AB20" s="34" t="n">
        <v>0</v>
      </c>
      <c r="AC20" s="34" t="n"/>
      <c r="AD20" s="37" t="n"/>
      <c r="AE20" s="35" t="n"/>
      <c r="AF20" s="34" t="n"/>
      <c r="AG20" s="34" t="n"/>
      <c r="AH20" s="34" t="n"/>
    </row>
    <row r="21">
      <c r="A21" s="30" t="n">
        <v>19</v>
      </c>
      <c r="B21" s="30" t="inlineStr">
        <is>
          <t>Hot</t>
        </is>
      </c>
      <c r="C21" s="30" t="n">
        <v>8</v>
      </c>
      <c r="D21" s="31" t="inlineStr">
        <is>
          <t>Follow up New Update</t>
        </is>
      </c>
      <c r="E21" s="30" t="inlineStr">
        <is>
          <t>L0</t>
        </is>
      </c>
      <c r="F21" s="30" t="n"/>
      <c r="G21" s="30" t="inlineStr">
        <is>
          <t>呀勇</t>
        </is>
      </c>
      <c r="H21" s="30" t="inlineStr">
        <is>
          <t>呀勇</t>
        </is>
      </c>
      <c r="I21" s="32" t="inlineStr">
        <is>
          <t>69396146</t>
        </is>
      </c>
      <c r="J21" s="30" t="inlineStr">
        <is>
          <t>male</t>
        </is>
      </c>
      <c r="K21" s="30" t="n">
        <v>35</v>
      </c>
      <c r="L21" s="30" t="inlineStr">
        <is>
          <t>Friend</t>
        </is>
      </c>
      <c r="M21" s="30" t="n">
        <v>2</v>
      </c>
      <c r="N21" s="30" t="n">
        <v>2</v>
      </c>
      <c r="O21" s="30" t="inlineStr">
        <is>
          <t>salon</t>
        </is>
      </c>
      <c r="P21" s="30" t="inlineStr">
        <is>
          <t>Tin shui Wai</t>
        </is>
      </c>
      <c r="Q21" s="30" t="inlineStr">
        <is>
          <t>10000$-30000</t>
        </is>
      </c>
      <c r="R21" s="31" t="inlineStr">
        <is>
          <t>Savings/EFG, FYC</t>
        </is>
      </c>
      <c r="S21" s="31" t="inlineStr">
        <is>
          <t>EFG $1M FYC(63,840) June end on june</t>
        </is>
      </c>
      <c r="T21" s="30" t="inlineStr">
        <is>
          <t>2025/03/25</t>
        </is>
      </c>
      <c r="U21" s="30" t="inlineStr">
        <is>
          <t>First contact</t>
        </is>
      </c>
      <c r="V21" s="33" t="n"/>
      <c r="W21" s="33" t="n"/>
      <c r="X21">
        <f>IF($W21="","",IF(DATE(YEAR(TODAY()),MONTH($W21),DAY($W21))&gt;=TODAY(),DATE(YEAR(TODAY()),MONTH($W21),DAY($W21))-TODAY(),DATE(YEAR(TODAY())+1,MONTH($W21),DAY($W21))-TODAY()))</f>
        <v/>
      </c>
      <c r="Y21">
        <f>IF($X21="","",IF($X21&lt;=30,"YES",""))</f>
        <v/>
      </c>
      <c r="Z21" s="30">
        <f>IF($F21="Yes","Champion",IF($AB21&gt;=2,"Advocate",IF($AB21&gt;=1,"Referrer",IF($M21&gt;=4,"High Potential",IF($M21&gt;=3,"Standard","New"))))))</f>
        <v/>
      </c>
      <c r="AA21" s="30" t="inlineStr">
        <is>
          <t>No</t>
        </is>
      </c>
      <c r="AB21" s="30" t="n">
        <v>0</v>
      </c>
      <c r="AC21" s="30" t="n"/>
      <c r="AD21" s="33" t="n"/>
      <c r="AE21" s="31" t="n"/>
      <c r="AF21" s="30" t="n"/>
      <c r="AG21" s="30" t="n"/>
      <c r="AH21" s="30" t="n"/>
    </row>
    <row r="22">
      <c r="A22" s="34" t="n">
        <v>20</v>
      </c>
      <c r="B22" s="34" t="inlineStr">
        <is>
          <t>Client</t>
        </is>
      </c>
      <c r="C22" s="34" t="n">
        <v>8</v>
      </c>
      <c r="D22" s="35" t="n"/>
      <c r="E22" s="34" t="inlineStr">
        <is>
          <t>NEW</t>
        </is>
      </c>
      <c r="F22" s="34" t="inlineStr">
        <is>
          <t>Yes</t>
        </is>
      </c>
      <c r="G22" s="34" t="inlineStr">
        <is>
          <t>Cheung Chi Hi</t>
        </is>
      </c>
      <c r="H22" s="34" t="inlineStr">
        <is>
          <t>Leo</t>
        </is>
      </c>
      <c r="I22" s="36" t="inlineStr">
        <is>
          <t>54052549</t>
        </is>
      </c>
      <c r="J22" s="34" t="inlineStr">
        <is>
          <t>Male</t>
        </is>
      </c>
      <c r="K22" s="34" t="n">
        <v>23</v>
      </c>
      <c r="L22" s="34" t="inlineStr">
        <is>
          <t>Friend</t>
        </is>
      </c>
      <c r="M22" s="34" t="n">
        <v>3</v>
      </c>
      <c r="N22" s="34" t="n">
        <v>2</v>
      </c>
      <c r="O22" s="34" t="inlineStr">
        <is>
          <t>Bank Teller</t>
        </is>
      </c>
      <c r="P22" s="34" t="inlineStr">
        <is>
          <t>Tai Wai</t>
        </is>
      </c>
      <c r="Q22" s="34" t="inlineStr">
        <is>
          <t>$18000</t>
        </is>
      </c>
      <c r="R22" s="35" t="n"/>
      <c r="S22" s="35" t="n"/>
      <c r="T22" s="34" t="n"/>
      <c r="U22" s="34" t="inlineStr">
        <is>
          <t>Active client</t>
        </is>
      </c>
      <c r="V22" s="37" t="n"/>
      <c r="W22" s="37" t="n"/>
      <c r="X22">
        <f>IF($W22="","",IF(DATE(YEAR(TODAY()),MONTH($W22),DAY($W22))&gt;=TODAY(),DATE(YEAR(TODAY()),MONTH($W22),DAY($W22))-TODAY(),DATE(YEAR(TODAY())+1,MONTH($W22),DAY($W22))-TODAY()))</f>
        <v/>
      </c>
      <c r="Y22">
        <f>IF($X22="","",IF($X22&lt;=30,"YES",""))</f>
        <v/>
      </c>
      <c r="Z22" s="34">
        <f>IF($F22="Yes","Champion",IF($AB22&gt;=2,"Advocate",IF($AB22&gt;=1,"Referrer",IF($M22&gt;=4,"High Potential",IF($M22&gt;=3,"Standard","New"))))))</f>
        <v/>
      </c>
      <c r="AA22" s="34" t="inlineStr">
        <is>
          <t>No</t>
        </is>
      </c>
      <c r="AB22" s="34" t="n">
        <v>0</v>
      </c>
      <c r="AC22" s="34" t="n"/>
      <c r="AD22" s="37" t="n"/>
      <c r="AE22" s="35" t="n"/>
      <c r="AF22" s="34" t="n"/>
      <c r="AG22" s="34" t="n"/>
      <c r="AH22" s="34" t="n"/>
    </row>
    <row r="23">
      <c r="A23" s="30" t="n">
        <v>21</v>
      </c>
      <c r="B23" s="30" t="inlineStr">
        <is>
          <t>Warm</t>
        </is>
      </c>
      <c r="C23" s="30" t="n">
        <v>7</v>
      </c>
      <c r="D23" s="31" t="inlineStr">
        <is>
          <t>rearrange time to upcoming date</t>
        </is>
      </c>
      <c r="E23" s="30" t="inlineStr">
        <is>
          <t>NEW</t>
        </is>
      </c>
      <c r="F23" s="30" t="n"/>
      <c r="G23" s="30" t="inlineStr">
        <is>
          <t>Derek Tsang</t>
        </is>
      </c>
      <c r="H23" s="30" t="inlineStr">
        <is>
          <t>Derek</t>
        </is>
      </c>
      <c r="I23" s="32" t="inlineStr">
        <is>
          <t>93148806</t>
        </is>
      </c>
      <c r="J23" s="30" t="inlineStr">
        <is>
          <t>Male</t>
        </is>
      </c>
      <c r="K23" s="30" t="n">
        <v>26</v>
      </c>
      <c r="L23" s="30" t="inlineStr">
        <is>
          <t>Ex colleague</t>
        </is>
      </c>
      <c r="M23" s="30" t="n">
        <v>2</v>
      </c>
      <c r="N23" s="30" t="n">
        <v>2</v>
      </c>
      <c r="O23" s="30" t="inlineStr">
        <is>
          <t>Customer service officer</t>
        </is>
      </c>
      <c r="P23" s="30" t="inlineStr">
        <is>
          <t>Tai Kok Tsui</t>
        </is>
      </c>
      <c r="Q23" s="30" t="inlineStr">
        <is>
          <t>$22000</t>
        </is>
      </c>
      <c r="R23" s="31" t="n"/>
      <c r="S23" s="31" t="inlineStr">
        <is>
          <t>gathering on 3/17</t>
        </is>
      </c>
      <c r="T23" s="30" t="n"/>
      <c r="U23" s="30" t="inlineStr">
        <is>
          <t>Not contacted</t>
        </is>
      </c>
      <c r="V23" s="33" t="n"/>
      <c r="W23" s="33" t="n"/>
      <c r="X23">
        <f>IF($W23="","",IF(DATE(YEAR(TODAY()),MONTH($W23),DAY($W23))&gt;=TODAY(),DATE(YEAR(TODAY()),MONTH($W23),DAY($W23))-TODAY(),DATE(YEAR(TODAY())+1,MONTH($W23),DAY($W23))-TODAY()))</f>
        <v/>
      </c>
      <c r="Y23">
        <f>IF($X23="","",IF($X23&lt;=30,"YES",""))</f>
        <v/>
      </c>
      <c r="Z23" s="30">
        <f>IF($F23="Yes","Champion",IF($AB23&gt;=2,"Advocate",IF($AB23&gt;=1,"Referrer",IF($M23&gt;=4,"High Potential",IF($M23&gt;=3,"Standard","New"))))))</f>
        <v/>
      </c>
      <c r="AA23" s="30" t="inlineStr">
        <is>
          <t>No</t>
        </is>
      </c>
      <c r="AB23" s="30" t="n">
        <v>0</v>
      </c>
      <c r="AC23" s="30" t="n"/>
      <c r="AD23" s="33" t="n"/>
      <c r="AE23" s="31" t="n"/>
      <c r="AF23" s="30" t="n"/>
      <c r="AG23" s="30" t="n"/>
      <c r="AH23" s="30" t="n"/>
    </row>
    <row r="24">
      <c r="A24" s="34" t="n">
        <v>22</v>
      </c>
      <c r="B24" s="34" t="inlineStr">
        <is>
          <t>Warm</t>
        </is>
      </c>
      <c r="C24" s="34" t="n">
        <v>7</v>
      </c>
      <c r="D24" s="35" t="inlineStr">
        <is>
          <t>follow up deposi/t on 2026</t>
        </is>
      </c>
      <c r="E24" s="34" t="inlineStr">
        <is>
          <t>NEW</t>
        </is>
      </c>
      <c r="F24" s="34" t="n"/>
      <c r="G24" s="34" t="inlineStr">
        <is>
          <t>Miss Cheung</t>
        </is>
      </c>
      <c r="H24" s="34" t="inlineStr">
        <is>
          <t>Ho</t>
        </is>
      </c>
      <c r="I24" s="36" t="inlineStr">
        <is>
          <t>94647856</t>
        </is>
      </c>
      <c r="J24" s="34" t="inlineStr">
        <is>
          <t>female</t>
        </is>
      </c>
      <c r="K24" s="34" t="n">
        <v>69</v>
      </c>
      <c r="L24" s="34" t="inlineStr">
        <is>
          <t>booth</t>
        </is>
      </c>
      <c r="M24" s="34" t="n">
        <v>2</v>
      </c>
      <c r="N24" s="34" t="n">
        <v>2</v>
      </c>
      <c r="O24" s="34" t="inlineStr">
        <is>
          <t>retried</t>
        </is>
      </c>
      <c r="P24" s="34" t="inlineStr">
        <is>
          <t>unknown</t>
        </is>
      </c>
      <c r="Q24" s="34" t="inlineStr">
        <is>
          <t>none</t>
        </is>
      </c>
      <c r="R24" s="35" t="n"/>
      <c r="S24" s="35" t="n"/>
      <c r="T24" s="34" t="n"/>
      <c r="U24" s="34" t="inlineStr">
        <is>
          <t>Not contacted</t>
        </is>
      </c>
      <c r="V24" s="37" t="n"/>
      <c r="W24" s="37" t="n"/>
      <c r="X24">
        <f>IF($W24="","",IF(DATE(YEAR(TODAY()),MONTH($W24),DAY($W24))&gt;=TODAY(),DATE(YEAR(TODAY()),MONTH($W24),DAY($W24))-TODAY(),DATE(YEAR(TODAY())+1,MONTH($W24),DAY($W24))-TODAY()))</f>
        <v/>
      </c>
      <c r="Y24">
        <f>IF($X24="","",IF($X24&lt;=30,"YES",""))</f>
        <v/>
      </c>
      <c r="Z24" s="34">
        <f>IF($F24="Yes","Champion",IF($AB24&gt;=2,"Advocate",IF($AB24&gt;=1,"Referrer",IF($M24&gt;=4,"High Potential",IF($M24&gt;=3,"Standard","New"))))))</f>
        <v/>
      </c>
      <c r="AA24" s="34" t="inlineStr">
        <is>
          <t>No</t>
        </is>
      </c>
      <c r="AB24" s="34" t="n">
        <v>0</v>
      </c>
      <c r="AC24" s="34" t="n"/>
      <c r="AD24" s="37" t="n"/>
      <c r="AE24" s="35" t="n"/>
      <c r="AF24" s="34" t="n"/>
      <c r="AG24" s="34" t="n"/>
      <c r="AH24" s="34" t="n"/>
    </row>
    <row r="25">
      <c r="A25" s="30" t="n">
        <v>23</v>
      </c>
      <c r="B25" s="30" t="inlineStr">
        <is>
          <t>Warm</t>
        </is>
      </c>
      <c r="C25" s="30" t="n">
        <v>7</v>
      </c>
      <c r="D25" s="31" t="inlineStr">
        <is>
          <t>Recurit target</t>
        </is>
      </c>
      <c r="E25" s="30" t="inlineStr">
        <is>
          <t>NEW</t>
        </is>
      </c>
      <c r="F25" s="30" t="n"/>
      <c r="G25" s="30" t="inlineStr">
        <is>
          <t>Queenie Chong</t>
        </is>
      </c>
      <c r="H25" s="30" t="inlineStr">
        <is>
          <t>Queenie</t>
        </is>
      </c>
      <c r="I25" s="32" t="inlineStr">
        <is>
          <t>63334940</t>
        </is>
      </c>
      <c r="J25" s="30" t="inlineStr">
        <is>
          <t>Female</t>
        </is>
      </c>
      <c r="K25" s="30" t="n">
        <v>30</v>
      </c>
      <c r="L25" s="30" t="inlineStr">
        <is>
          <t>Ex colleague</t>
        </is>
      </c>
      <c r="M25" s="30" t="n">
        <v>2</v>
      </c>
      <c r="N25" s="30" t="n">
        <v>2</v>
      </c>
      <c r="O25" s="30" t="inlineStr">
        <is>
          <t>Customer service officer</t>
        </is>
      </c>
      <c r="P25" s="30" t="inlineStr">
        <is>
          <t>Tai Kok Tsui</t>
        </is>
      </c>
      <c r="Q25" s="30" t="inlineStr">
        <is>
          <t>$20250</t>
        </is>
      </c>
      <c r="R25" s="31" t="inlineStr">
        <is>
          <t>Recruit</t>
        </is>
      </c>
      <c r="S25" s="31" t="inlineStr">
        <is>
          <t>Protential recruit</t>
        </is>
      </c>
      <c r="T25" s="30" t="n"/>
      <c r="U25" s="30" t="inlineStr">
        <is>
          <t>Not contacted</t>
        </is>
      </c>
      <c r="V25" s="33" t="n"/>
      <c r="W25" s="33" t="n"/>
      <c r="X25">
        <f>IF($W25="","",IF(DATE(YEAR(TODAY()),MONTH($W25),DAY($W25))&gt;=TODAY(),DATE(YEAR(TODAY()),MONTH($W25),DAY($W25))-TODAY(),DATE(YEAR(TODAY())+1,MONTH($W25),DAY($W25))-TODAY()))</f>
        <v/>
      </c>
      <c r="Y25">
        <f>IF($X25="","",IF($X25&lt;=30,"YES",""))</f>
        <v/>
      </c>
      <c r="Z25" s="30">
        <f>IF($F25="Yes","Champion",IF($AB25&gt;=2,"Advocate",IF($AB25&gt;=1,"Referrer",IF($M25&gt;=4,"High Potential",IF($M25&gt;=3,"Standard","New"))))))</f>
        <v/>
      </c>
      <c r="AA25" s="30" t="inlineStr">
        <is>
          <t>No</t>
        </is>
      </c>
      <c r="AB25" s="30" t="n">
        <v>0</v>
      </c>
      <c r="AC25" s="30" t="n"/>
      <c r="AD25" s="33" t="n"/>
      <c r="AE25" s="31" t="n"/>
      <c r="AF25" s="30" t="n"/>
      <c r="AG25" s="30" t="n"/>
      <c r="AH25" s="30" t="n"/>
    </row>
    <row r="26">
      <c r="A26" s="34" t="n">
        <v>24</v>
      </c>
      <c r="B26" s="34" t="inlineStr">
        <is>
          <t>Warm</t>
        </is>
      </c>
      <c r="C26" s="34" t="n">
        <v>7</v>
      </c>
      <c r="D26" s="35" t="inlineStr">
        <is>
          <t>keep warm</t>
        </is>
      </c>
      <c r="E26" s="34" t="inlineStr">
        <is>
          <t>NEW</t>
        </is>
      </c>
      <c r="F26" s="34" t="n"/>
      <c r="G26" s="34" t="inlineStr">
        <is>
          <t>Suki</t>
        </is>
      </c>
      <c r="H26" s="34" t="inlineStr">
        <is>
          <t>Suki</t>
        </is>
      </c>
      <c r="I26" s="36" t="inlineStr">
        <is>
          <t>54014179</t>
        </is>
      </c>
      <c r="J26" s="34" t="inlineStr">
        <is>
          <t>Female</t>
        </is>
      </c>
      <c r="K26" s="34" t="n">
        <v>24</v>
      </c>
      <c r="L26" s="34" t="inlineStr">
        <is>
          <t>Ex colleague</t>
        </is>
      </c>
      <c r="M26" s="34" t="n">
        <v>2</v>
      </c>
      <c r="N26" s="34" t="n">
        <v>2</v>
      </c>
      <c r="O26" s="34" t="inlineStr">
        <is>
          <t>Customer service officer</t>
        </is>
      </c>
      <c r="P26" s="34" t="inlineStr">
        <is>
          <t>Tai Kok Tsui</t>
        </is>
      </c>
      <c r="Q26" s="34" t="inlineStr">
        <is>
          <t>$20250</t>
        </is>
      </c>
      <c r="R26" s="35" t="n"/>
      <c r="S26" s="35" t="inlineStr">
        <is>
          <t>gathering on 3/17</t>
        </is>
      </c>
      <c r="T26" s="34" t="n"/>
      <c r="U26" s="34" t="inlineStr">
        <is>
          <t>Not contacted</t>
        </is>
      </c>
      <c r="V26" s="37" t="n"/>
      <c r="W26" s="37" t="n"/>
      <c r="X26">
        <f>IF($W26="","",IF(DATE(YEAR(TODAY()),MONTH($W26),DAY($W26))&gt;=TODAY(),DATE(YEAR(TODAY()),MONTH($W26),DAY($W26))-TODAY(),DATE(YEAR(TODAY())+1,MONTH($W26),DAY($W26))-TODAY()))</f>
        <v/>
      </c>
      <c r="Y26">
        <f>IF($X26="","",IF($X26&lt;=30,"YES",""))</f>
        <v/>
      </c>
      <c r="Z26" s="34">
        <f>IF($F26="Yes","Champion",IF($AB26&gt;=2,"Advocate",IF($AB26&gt;=1,"Referrer",IF($M26&gt;=4,"High Potential",IF($M26&gt;=3,"Standard","New"))))))</f>
        <v/>
      </c>
      <c r="AA26" s="34" t="inlineStr">
        <is>
          <t>No</t>
        </is>
      </c>
      <c r="AB26" s="34" t="n">
        <v>0</v>
      </c>
      <c r="AC26" s="34" t="n"/>
      <c r="AD26" s="37" t="n"/>
      <c r="AE26" s="35" t="n"/>
      <c r="AF26" s="34" t="n"/>
      <c r="AG26" s="34" t="n"/>
      <c r="AH26" s="34" t="n"/>
    </row>
    <row r="27">
      <c r="A27" s="30" t="n">
        <v>25</v>
      </c>
      <c r="B27" s="30" t="inlineStr">
        <is>
          <t>Warm</t>
        </is>
      </c>
      <c r="C27" s="30" t="n">
        <v>7</v>
      </c>
      <c r="D27" s="31" t="n"/>
      <c r="E27" s="30" t="inlineStr">
        <is>
          <t>NEW</t>
        </is>
      </c>
      <c r="F27" s="30" t="n"/>
      <c r="G27" s="30" t="inlineStr">
        <is>
          <t>Kwan Pui ming</t>
        </is>
      </c>
      <c r="H27" s="30" t="inlineStr">
        <is>
          <t>Tom</t>
        </is>
      </c>
      <c r="I27" s="32" t="inlineStr">
        <is>
          <t>64344165</t>
        </is>
      </c>
      <c r="J27" s="30" t="inlineStr">
        <is>
          <t>Male</t>
        </is>
      </c>
      <c r="K27" s="30" t="n">
        <v>30</v>
      </c>
      <c r="L27" s="30" t="inlineStr">
        <is>
          <t>Sis husband</t>
        </is>
      </c>
      <c r="M27" s="30" t="n">
        <v>4</v>
      </c>
      <c r="N27" s="30" t="n">
        <v>2</v>
      </c>
      <c r="O27" s="30" t="inlineStr">
        <is>
          <t>Nurse</t>
        </is>
      </c>
      <c r="P27" s="30" t="inlineStr">
        <is>
          <t>Unknown</t>
        </is>
      </c>
      <c r="Q27" s="30" t="inlineStr">
        <is>
          <t>Unknown</t>
        </is>
      </c>
      <c r="R27" s="31" t="n"/>
      <c r="S27" s="31" t="n"/>
      <c r="T27" s="30" t="n"/>
      <c r="U27" s="30" t="inlineStr">
        <is>
          <t>Not contacted</t>
        </is>
      </c>
      <c r="V27" s="33" t="n"/>
      <c r="W27" s="33" t="n"/>
      <c r="X27">
        <f>IF($W27="","",IF(DATE(YEAR(TODAY()),MONTH($W27),DAY($W27))&gt;=TODAY(),DATE(YEAR(TODAY()),MONTH($W27),DAY($W27))-TODAY(),DATE(YEAR(TODAY())+1,MONTH($W27),DAY($W27))-TODAY()))</f>
        <v/>
      </c>
      <c r="Y27">
        <f>IF($X27="","",IF($X27&lt;=30,"YES",""))</f>
        <v/>
      </c>
      <c r="Z27" s="30">
        <f>IF($F27="Yes","Champion",IF($AB27&gt;=2,"Advocate",IF($AB27&gt;=1,"Referrer",IF($M27&gt;=4,"High Potential",IF($M27&gt;=3,"Standard","New"))))))</f>
        <v/>
      </c>
      <c r="AA27" s="30" t="inlineStr">
        <is>
          <t>No</t>
        </is>
      </c>
      <c r="AB27" s="30" t="n">
        <v>0</v>
      </c>
      <c r="AC27" s="30" t="n"/>
      <c r="AD27" s="33" t="n"/>
      <c r="AE27" s="31" t="n"/>
      <c r="AF27" s="30" t="n"/>
      <c r="AG27" s="30" t="n"/>
      <c r="AH27" s="30" t="n"/>
    </row>
    <row r="28">
      <c r="A28" s="34" t="n">
        <v>26</v>
      </c>
      <c r="B28" s="34" t="inlineStr">
        <is>
          <t>Warm</t>
        </is>
      </c>
      <c r="C28" s="34" t="n">
        <v>6</v>
      </c>
      <c r="D28" s="35" t="inlineStr">
        <is>
          <t>To be confirm for appt time</t>
        </is>
      </c>
      <c r="E28" s="34" t="inlineStr">
        <is>
          <t>L1</t>
        </is>
      </c>
      <c r="F28" s="34" t="n"/>
      <c r="G28" s="34" t="inlineStr">
        <is>
          <t>Eva</t>
        </is>
      </c>
      <c r="H28" s="34" t="inlineStr">
        <is>
          <t>Eva</t>
        </is>
      </c>
      <c r="I28" s="36" t="inlineStr">
        <is>
          <t>66832709</t>
        </is>
      </c>
      <c r="J28" s="34" t="inlineStr">
        <is>
          <t>Female</t>
        </is>
      </c>
      <c r="K28" s="34" t="n">
        <v>53</v>
      </c>
      <c r="L28" s="34" t="inlineStr">
        <is>
          <t>Booth</t>
        </is>
      </c>
      <c r="M28" s="34" t="n">
        <v>1</v>
      </c>
      <c r="N28" s="34" t="n">
        <v>2</v>
      </c>
      <c r="O28" s="34" t="inlineStr">
        <is>
          <t>Unknown</t>
        </is>
      </c>
      <c r="P28" s="34" t="inlineStr">
        <is>
          <t>Unknown</t>
        </is>
      </c>
      <c r="Q28" s="34" t="inlineStr">
        <is>
          <t>Unknown</t>
        </is>
      </c>
      <c r="R28" s="35" t="inlineStr">
        <is>
          <t>IncomeJoy</t>
        </is>
      </c>
      <c r="S28" s="35" t="inlineStr">
        <is>
          <t>approch for IJ</t>
        </is>
      </c>
      <c r="T28" s="34" t="inlineStr">
        <is>
          <t>To be confirm for appt time</t>
        </is>
      </c>
      <c r="U28" s="34" t="inlineStr">
        <is>
          <t>Meeting scheduled</t>
        </is>
      </c>
      <c r="V28" s="37" t="n"/>
      <c r="W28" s="37" t="n"/>
      <c r="X28">
        <f>IF($W28="","",IF(DATE(YEAR(TODAY()),MONTH($W28),DAY($W28))&gt;=TODAY(),DATE(YEAR(TODAY()),MONTH($W28),DAY($W28))-TODAY(),DATE(YEAR(TODAY())+1,MONTH($W28),DAY($W28))-TODAY()))</f>
        <v/>
      </c>
      <c r="Y28">
        <f>IF($X28="","",IF($X28&lt;=30,"YES",""))</f>
        <v/>
      </c>
      <c r="Z28" s="34">
        <f>IF($F28="Yes","Champion",IF($AB28&gt;=2,"Advocate",IF($AB28&gt;=1,"Referrer",IF($M28&gt;=4,"High Potential",IF($M28&gt;=3,"Standard","New"))))))</f>
        <v/>
      </c>
      <c r="AA28" s="34" t="inlineStr">
        <is>
          <t>No</t>
        </is>
      </c>
      <c r="AB28" s="34" t="n">
        <v>0</v>
      </c>
      <c r="AC28" s="34" t="n"/>
      <c r="AD28" s="37" t="n"/>
      <c r="AE28" s="35" t="n"/>
      <c r="AF28" s="34" t="n"/>
      <c r="AG28" s="34" t="n"/>
      <c r="AH28" s="34" t="n"/>
    </row>
    <row r="29">
      <c r="A29" s="30" t="n">
        <v>27</v>
      </c>
      <c r="B29" s="30" t="inlineStr">
        <is>
          <t>Warm</t>
        </is>
      </c>
      <c r="C29" s="30" t="n">
        <v>6</v>
      </c>
      <c r="D29" s="31" t="inlineStr">
        <is>
          <t>Follow up medical  (Monday)</t>
        </is>
      </c>
      <c r="E29" s="30" t="inlineStr">
        <is>
          <t>NEW</t>
        </is>
      </c>
      <c r="F29" s="30" t="n"/>
      <c r="G29" s="30" t="inlineStr">
        <is>
          <t>Yeung Tzs kun</t>
        </is>
      </c>
      <c r="H29" s="30" t="inlineStr">
        <is>
          <t>Joe</t>
        </is>
      </c>
      <c r="I29" s="32" t="inlineStr">
        <is>
          <t>61510772</t>
        </is>
      </c>
      <c r="J29" s="30" t="inlineStr">
        <is>
          <t>Male</t>
        </is>
      </c>
      <c r="K29" s="30" t="n">
        <v>23</v>
      </c>
      <c r="L29" s="30" t="inlineStr">
        <is>
          <t>Friend</t>
        </is>
      </c>
      <c r="M29" s="30" t="n">
        <v>3</v>
      </c>
      <c r="N29" s="30" t="n"/>
      <c r="O29" s="30" t="inlineStr">
        <is>
          <t>Unempolyed</t>
        </is>
      </c>
      <c r="P29" s="30" t="inlineStr">
        <is>
          <t>None</t>
        </is>
      </c>
      <c r="Q29" s="30" t="inlineStr">
        <is>
          <t>None</t>
        </is>
      </c>
      <c r="R29" s="31" t="inlineStr">
        <is>
          <t>Medical</t>
        </is>
      </c>
      <c r="S29" s="31" t="n"/>
      <c r="T29" s="30" t="n"/>
      <c r="U29" s="30" t="inlineStr">
        <is>
          <t>Not contacted</t>
        </is>
      </c>
      <c r="V29" s="33" t="n"/>
      <c r="W29" s="33" t="n"/>
      <c r="X29">
        <f>IF($W29="","",IF(DATE(YEAR(TODAY()),MONTH($W29),DAY($W29))&gt;=TODAY(),DATE(YEAR(TODAY()),MONTH($W29),DAY($W29))-TODAY(),DATE(YEAR(TODAY())+1,MONTH($W29),DAY($W29))-TODAY()))</f>
        <v/>
      </c>
      <c r="Y29">
        <f>IF($X29="","",IF($X29&lt;=30,"YES",""))</f>
        <v/>
      </c>
      <c r="Z29" s="30">
        <f>IF($F29="Yes","Champion",IF($AB29&gt;=2,"Advocate",IF($AB29&gt;=1,"Referrer",IF($M29&gt;=4,"High Potential",IF($M29&gt;=3,"Standard","New"))))))</f>
        <v/>
      </c>
      <c r="AA29" s="30" t="inlineStr">
        <is>
          <t>No</t>
        </is>
      </c>
      <c r="AB29" s="30" t="n">
        <v>0</v>
      </c>
      <c r="AC29" s="30" t="n"/>
      <c r="AD29" s="33" t="n"/>
      <c r="AE29" s="31" t="n"/>
      <c r="AF29" s="30" t="n"/>
      <c r="AG29" s="30" t="n"/>
      <c r="AH29" s="30" t="n"/>
    </row>
    <row r="30">
      <c r="A30" s="34" t="n">
        <v>28</v>
      </c>
      <c r="B30" s="34" t="inlineStr">
        <is>
          <t>Warm</t>
        </is>
      </c>
      <c r="C30" s="34" t="n">
        <v>6</v>
      </c>
      <c r="D30" s="35" t="n"/>
      <c r="E30" s="34" t="inlineStr">
        <is>
          <t>NEW</t>
        </is>
      </c>
      <c r="F30" s="34" t="n"/>
      <c r="G30" s="34" t="inlineStr">
        <is>
          <t>Cai Bing Ka-</t>
        </is>
      </c>
      <c r="H30" s="34" t="inlineStr">
        <is>
          <t>Robot</t>
        </is>
      </c>
      <c r="I30" s="36" t="inlineStr">
        <is>
          <t>96317609</t>
        </is>
      </c>
      <c r="J30" s="34" t="inlineStr">
        <is>
          <t>Male</t>
        </is>
      </c>
      <c r="K30" s="34" t="n">
        <v>23</v>
      </c>
      <c r="L30" s="34" t="inlineStr">
        <is>
          <t>Friend</t>
        </is>
      </c>
      <c r="M30" s="34" t="n">
        <v>3</v>
      </c>
      <c r="N30" s="34" t="n">
        <v>2</v>
      </c>
      <c r="O30" s="34" t="inlineStr">
        <is>
          <t>Student</t>
        </is>
      </c>
      <c r="P30" s="34" t="inlineStr">
        <is>
          <t>Unknown</t>
        </is>
      </c>
      <c r="Q30" s="34" t="inlineStr">
        <is>
          <t>None</t>
        </is>
      </c>
      <c r="R30" s="35" t="n"/>
      <c r="S30" s="35" t="n"/>
      <c r="T30" s="34" t="n"/>
      <c r="U30" s="34" t="inlineStr">
        <is>
          <t>Not contacted</t>
        </is>
      </c>
      <c r="V30" s="37" t="n"/>
      <c r="W30" s="37" t="n"/>
      <c r="X30">
        <f>IF($W30="","",IF(DATE(YEAR(TODAY()),MONTH($W30),DAY($W30))&gt;=TODAY(),DATE(YEAR(TODAY()),MONTH($W30),DAY($W30))-TODAY(),DATE(YEAR(TODAY())+1,MONTH($W30),DAY($W30))-TODAY()))</f>
        <v/>
      </c>
      <c r="Y30">
        <f>IF($X30="","",IF($X30&lt;=30,"YES",""))</f>
        <v/>
      </c>
      <c r="Z30" s="34">
        <f>IF($F30="Yes","Champion",IF($AB30&gt;=2,"Advocate",IF($AB30&gt;=1,"Referrer",IF($M30&gt;=4,"High Potential",IF($M30&gt;=3,"Standard","New"))))))</f>
        <v/>
      </c>
      <c r="AA30" s="34" t="inlineStr">
        <is>
          <t>No</t>
        </is>
      </c>
      <c r="AB30" s="34" t="n">
        <v>0</v>
      </c>
      <c r="AC30" s="34" t="n"/>
      <c r="AD30" s="37" t="n"/>
      <c r="AE30" s="35" t="n"/>
      <c r="AF30" s="34" t="n"/>
      <c r="AG30" s="34" t="n"/>
      <c r="AH30" s="34" t="n"/>
    </row>
    <row r="31">
      <c r="A31" s="30" t="n">
        <v>29</v>
      </c>
      <c r="B31" s="30" t="inlineStr">
        <is>
          <t>Warm</t>
        </is>
      </c>
      <c r="C31" s="30" t="n">
        <v>6</v>
      </c>
      <c r="D31" s="31" t="n"/>
      <c r="E31" s="30" t="inlineStr">
        <is>
          <t>NEW</t>
        </is>
      </c>
      <c r="F31" s="30" t="n"/>
      <c r="G31" s="30" t="inlineStr">
        <is>
          <t>Chan Shun Yi</t>
        </is>
      </c>
      <c r="H31" s="30" t="inlineStr">
        <is>
          <t>Andy</t>
        </is>
      </c>
      <c r="I31" s="32" t="inlineStr">
        <is>
          <t>51105061</t>
        </is>
      </c>
      <c r="J31" s="30" t="inlineStr">
        <is>
          <t>Male</t>
        </is>
      </c>
      <c r="K31" s="30" t="n">
        <v>23</v>
      </c>
      <c r="L31" s="30" t="inlineStr">
        <is>
          <t>Friend</t>
        </is>
      </c>
      <c r="M31" s="30" t="n">
        <v>3</v>
      </c>
      <c r="N31" s="30" t="n">
        <v>2</v>
      </c>
      <c r="O31" s="30" t="inlineStr">
        <is>
          <t>Hospital IT support</t>
        </is>
      </c>
      <c r="P31" s="30" t="inlineStr">
        <is>
          <t>Unknown</t>
        </is>
      </c>
      <c r="Q31" s="30" t="inlineStr">
        <is>
          <t>$18000</t>
        </is>
      </c>
      <c r="R31" s="31" t="n"/>
      <c r="S31" s="31" t="n"/>
      <c r="T31" s="30" t="n"/>
      <c r="U31" s="30" t="inlineStr">
        <is>
          <t>Not contacted</t>
        </is>
      </c>
      <c r="V31" s="33" t="n"/>
      <c r="W31" s="33" t="n"/>
      <c r="X31">
        <f>IF($W31="","",IF(DATE(YEAR(TODAY()),MONTH($W31),DAY($W31))&gt;=TODAY(),DATE(YEAR(TODAY()),MONTH($W31),DAY($W31))-TODAY(),DATE(YEAR(TODAY())+1,MONTH($W31),DAY($W31))-TODAY()))</f>
        <v/>
      </c>
      <c r="Y31">
        <f>IF($X31="","",IF($X31&lt;=30,"YES",""))</f>
        <v/>
      </c>
      <c r="Z31" s="30">
        <f>IF($F31="Yes","Champion",IF($AB31&gt;=2,"Advocate",IF($AB31&gt;=1,"Referrer",IF($M31&gt;=4,"High Potential",IF($M31&gt;=3,"Standard","New"))))))</f>
        <v/>
      </c>
      <c r="AA31" s="30" t="inlineStr">
        <is>
          <t>No</t>
        </is>
      </c>
      <c r="AB31" s="30" t="n">
        <v>0</v>
      </c>
      <c r="AC31" s="30" t="n"/>
      <c r="AD31" s="33" t="n"/>
      <c r="AE31" s="31" t="n"/>
      <c r="AF31" s="30" t="n"/>
      <c r="AG31" s="30" t="n"/>
      <c r="AH31" s="30" t="n"/>
    </row>
    <row r="32">
      <c r="A32" s="34" t="n">
        <v>30</v>
      </c>
      <c r="B32" s="34" t="inlineStr">
        <is>
          <t>Warm</t>
        </is>
      </c>
      <c r="C32" s="34" t="n">
        <v>6</v>
      </c>
      <c r="D32" s="35" t="n"/>
      <c r="E32" s="34" t="inlineStr">
        <is>
          <t>NEW</t>
        </is>
      </c>
      <c r="F32" s="34" t="n"/>
      <c r="G32" s="34" t="inlineStr">
        <is>
          <t>Lee Chak Yin</t>
        </is>
      </c>
      <c r="H32" s="34" t="inlineStr">
        <is>
          <t>Xavier</t>
        </is>
      </c>
      <c r="I32" s="36" t="inlineStr">
        <is>
          <t>96007376</t>
        </is>
      </c>
      <c r="J32" s="34" t="inlineStr">
        <is>
          <t>Male</t>
        </is>
      </c>
      <c r="K32" s="34" t="n">
        <v>23</v>
      </c>
      <c r="L32" s="34" t="inlineStr">
        <is>
          <t>Friend</t>
        </is>
      </c>
      <c r="M32" s="34" t="n">
        <v>3</v>
      </c>
      <c r="N32" s="34" t="n">
        <v>2</v>
      </c>
      <c r="O32" s="34" t="inlineStr">
        <is>
          <t>Fireman leader</t>
        </is>
      </c>
      <c r="P32" s="34" t="inlineStr">
        <is>
          <t>Unknown</t>
        </is>
      </c>
      <c r="Q32" s="34" t="inlineStr">
        <is>
          <t>$46925</t>
        </is>
      </c>
      <c r="R32" s="35" t="n"/>
      <c r="S32" s="35" t="n"/>
      <c r="T32" s="34" t="n"/>
      <c r="U32" s="34" t="inlineStr">
        <is>
          <t>Not contacted</t>
        </is>
      </c>
      <c r="V32" s="37" t="n"/>
      <c r="W32" s="37" t="n"/>
      <c r="X32">
        <f>IF($W32="","",IF(DATE(YEAR(TODAY()),MONTH($W32),DAY($W32))&gt;=TODAY(),DATE(YEAR(TODAY()),MONTH($W32),DAY($W32))-TODAY(),DATE(YEAR(TODAY())+1,MONTH($W32),DAY($W32))-TODAY()))</f>
        <v/>
      </c>
      <c r="Y32">
        <f>IF($X32="","",IF($X32&lt;=30,"YES",""))</f>
        <v/>
      </c>
      <c r="Z32" s="34">
        <f>IF($F32="Yes","Champion",IF($AB32&gt;=2,"Advocate",IF($AB32&gt;=1,"Referrer",IF($M32&gt;=4,"High Potential",IF($M32&gt;=3,"Standard","New"))))))</f>
        <v/>
      </c>
      <c r="AA32" s="34" t="inlineStr">
        <is>
          <t>No</t>
        </is>
      </c>
      <c r="AB32" s="34" t="n">
        <v>0</v>
      </c>
      <c r="AC32" s="34" t="n"/>
      <c r="AD32" s="37" t="n"/>
      <c r="AE32" s="35" t="n"/>
      <c r="AF32" s="34" t="n"/>
      <c r="AG32" s="34" t="n"/>
      <c r="AH32" s="34" t="n"/>
    </row>
    <row r="33">
      <c r="A33" s="30" t="n">
        <v>31</v>
      </c>
      <c r="B33" s="30" t="inlineStr">
        <is>
          <t>Warm</t>
        </is>
      </c>
      <c r="C33" s="30" t="n">
        <v>6</v>
      </c>
      <c r="D33" s="31" t="n"/>
      <c r="E33" s="30" t="inlineStr">
        <is>
          <t>NEW</t>
        </is>
      </c>
      <c r="F33" s="30" t="n"/>
      <c r="G33" s="30" t="inlineStr">
        <is>
          <t>Ling Cheuk long</t>
        </is>
      </c>
      <c r="H33" s="30" t="inlineStr">
        <is>
          <t>0Long</t>
        </is>
      </c>
      <c r="I33" s="32" t="inlineStr">
        <is>
          <t>96837486</t>
        </is>
      </c>
      <c r="J33" s="30" t="inlineStr">
        <is>
          <t>Male</t>
        </is>
      </c>
      <c r="K33" s="30" t="n">
        <v>23</v>
      </c>
      <c r="L33" s="30" t="inlineStr">
        <is>
          <t>Friend</t>
        </is>
      </c>
      <c r="M33" s="30" t="n">
        <v>3</v>
      </c>
      <c r="N33" s="30" t="n">
        <v>2</v>
      </c>
      <c r="O33" s="30" t="inlineStr">
        <is>
          <t>Pre-Doctor</t>
        </is>
      </c>
      <c r="P33" s="30" t="inlineStr">
        <is>
          <t>Unknown</t>
        </is>
      </c>
      <c r="Q33" s="30" t="inlineStr">
        <is>
          <t>None</t>
        </is>
      </c>
      <c r="R33" s="31" t="n"/>
      <c r="S33" s="31" t="n"/>
      <c r="T33" s="30" t="n"/>
      <c r="U33" s="30" t="inlineStr">
        <is>
          <t>Not contacted</t>
        </is>
      </c>
      <c r="V33" s="33" t="n"/>
      <c r="W33" s="33" t="n"/>
      <c r="X33">
        <f>IF($W33="","",IF(DATE(YEAR(TODAY()),MONTH($W33),DAY($W33))&gt;=TODAY(),DATE(YEAR(TODAY()),MONTH($W33),DAY($W33))-TODAY(),DATE(YEAR(TODAY())+1,MONTH($W33),DAY($W33))-TODAY()))</f>
        <v/>
      </c>
      <c r="Y33">
        <f>IF($X33="","",IF($X33&lt;=30,"YES",""))</f>
        <v/>
      </c>
      <c r="Z33" s="30">
        <f>IF($F33="Yes","Champion",IF($AB33&gt;=2,"Advocate",IF($AB33&gt;=1,"Referrer",IF($M33&gt;=4,"High Potential",IF($M33&gt;=3,"Standard","New"))))))</f>
        <v/>
      </c>
      <c r="AA33" s="30" t="inlineStr">
        <is>
          <t>No</t>
        </is>
      </c>
      <c r="AB33" s="30" t="n">
        <v>0</v>
      </c>
      <c r="AC33" s="30" t="n"/>
      <c r="AD33" s="33" t="n"/>
      <c r="AE33" s="31" t="n"/>
      <c r="AF33" s="30" t="n"/>
      <c r="AG33" s="30" t="n"/>
      <c r="AH33" s="30" t="n"/>
    </row>
    <row r="34">
      <c r="A34" s="34" t="n">
        <v>32</v>
      </c>
      <c r="B34" s="34" t="inlineStr">
        <is>
          <t>Warm</t>
        </is>
      </c>
      <c r="C34" s="34" t="n">
        <v>6</v>
      </c>
      <c r="D34" s="35" t="n"/>
      <c r="E34" s="34" t="inlineStr">
        <is>
          <t>NEW</t>
        </is>
      </c>
      <c r="F34" s="34" t="n"/>
      <c r="G34" s="34" t="inlineStr">
        <is>
          <t>Wong Chun Heng</t>
        </is>
      </c>
      <c r="H34" s="34" t="inlineStr">
        <is>
          <t>Jacky</t>
        </is>
      </c>
      <c r="I34" s="36" t="inlineStr">
        <is>
          <t>91414529</t>
        </is>
      </c>
      <c r="J34" s="34" t="inlineStr">
        <is>
          <t>Male</t>
        </is>
      </c>
      <c r="K34" s="34" t="n">
        <v>23</v>
      </c>
      <c r="L34" s="34" t="inlineStr">
        <is>
          <t>Friend</t>
        </is>
      </c>
      <c r="M34" s="34" t="n">
        <v>3</v>
      </c>
      <c r="N34" s="34" t="n">
        <v>2</v>
      </c>
      <c r="O34" s="34" t="inlineStr">
        <is>
          <t>Student</t>
        </is>
      </c>
      <c r="P34" s="34" t="inlineStr">
        <is>
          <t>Unknown</t>
        </is>
      </c>
      <c r="Q34" s="34" t="inlineStr">
        <is>
          <t>None</t>
        </is>
      </c>
      <c r="R34" s="35" t="n"/>
      <c r="S34" s="35" t="n"/>
      <c r="T34" s="34" t="n"/>
      <c r="U34" s="34" t="inlineStr">
        <is>
          <t>Not contacted</t>
        </is>
      </c>
      <c r="V34" s="37" t="n"/>
      <c r="W34" s="37" t="n"/>
      <c r="X34">
        <f>IF($W34="","",IF(DATE(YEAR(TODAY()),MONTH($W34),DAY($W34))&gt;=TODAY(),DATE(YEAR(TODAY()),MONTH($W34),DAY($W34))-TODAY(),DATE(YEAR(TODAY())+1,MONTH($W34),DAY($W34))-TODAY()))</f>
        <v/>
      </c>
      <c r="Y34">
        <f>IF($X34="","",IF($X34&lt;=30,"YES",""))</f>
        <v/>
      </c>
      <c r="Z34" s="34">
        <f>IF($F34="Yes","Champion",IF($AB34&gt;=2,"Advocate",IF($AB34&gt;=1,"Referrer",IF($M34&gt;=4,"High Potential",IF($M34&gt;=3,"Standard","New"))))))</f>
        <v/>
      </c>
      <c r="AA34" s="34" t="inlineStr">
        <is>
          <t>No</t>
        </is>
      </c>
      <c r="AB34" s="34" t="n">
        <v>0</v>
      </c>
      <c r="AC34" s="34" t="n"/>
      <c r="AD34" s="37" t="n"/>
      <c r="AE34" s="35" t="n"/>
      <c r="AF34" s="34" t="n"/>
      <c r="AG34" s="34" t="n"/>
      <c r="AH34" s="34" t="n"/>
    </row>
    <row r="35">
      <c r="A35" s="30" t="n">
        <v>33</v>
      </c>
      <c r="B35" s="30" t="inlineStr">
        <is>
          <t>Warm</t>
        </is>
      </c>
      <c r="C35" s="30" t="n">
        <v>6</v>
      </c>
      <c r="D35" s="31" t="n"/>
      <c r="E35" s="30" t="inlineStr">
        <is>
          <t>NEW</t>
        </is>
      </c>
      <c r="F35" s="30" t="n"/>
      <c r="G35" s="30" t="inlineStr">
        <is>
          <t>Wu Ming Lok</t>
        </is>
      </c>
      <c r="H35" s="30" t="inlineStr">
        <is>
          <t>Rocky</t>
        </is>
      </c>
      <c r="I35" s="32" t="inlineStr">
        <is>
          <t>63560610</t>
        </is>
      </c>
      <c r="J35" s="30" t="inlineStr">
        <is>
          <t>Male</t>
        </is>
      </c>
      <c r="K35" s="30" t="n">
        <v>23</v>
      </c>
      <c r="L35" s="30" t="inlineStr">
        <is>
          <t>Friend</t>
        </is>
      </c>
      <c r="M35" s="30" t="n">
        <v>3</v>
      </c>
      <c r="N35" s="30" t="n">
        <v>2</v>
      </c>
      <c r="O35" s="30" t="inlineStr">
        <is>
          <t>Event It support</t>
        </is>
      </c>
      <c r="P35" s="30" t="inlineStr">
        <is>
          <t>Unknown</t>
        </is>
      </c>
      <c r="Q35" s="30" t="inlineStr">
        <is>
          <t>$18000</t>
        </is>
      </c>
      <c r="R35" s="31" t="n"/>
      <c r="S35" s="31" t="n"/>
      <c r="T35" s="30" t="n"/>
      <c r="U35" s="30" t="inlineStr">
        <is>
          <t>Not contacted</t>
        </is>
      </c>
      <c r="V35" s="33" t="n"/>
      <c r="W35" s="33" t="n"/>
      <c r="X35">
        <f>IF($W35="","",IF(DATE(YEAR(TODAY()),MONTH($W35),DAY($W35))&gt;=TODAY(),DATE(YEAR(TODAY()),MONTH($W35),DAY($W35))-TODAY(),DATE(YEAR(TODAY())+1,MONTH($W35),DAY($W35))-TODAY()))</f>
        <v/>
      </c>
      <c r="Y35">
        <f>IF($X35="","",IF($X35&lt;=30,"YES",""))</f>
        <v/>
      </c>
      <c r="Z35" s="30">
        <f>IF($F35="Yes","Champion",IF($AB35&gt;=2,"Advocate",IF($AB35&gt;=1,"Referrer",IF($M35&gt;=4,"High Potential",IF($M35&gt;=3,"Standard","New"))))))</f>
        <v/>
      </c>
      <c r="AA35" s="30" t="inlineStr">
        <is>
          <t>No</t>
        </is>
      </c>
      <c r="AB35" s="30" t="n">
        <v>0</v>
      </c>
      <c r="AC35" s="30" t="n"/>
      <c r="AD35" s="33" t="n"/>
      <c r="AE35" s="31" t="n"/>
      <c r="AF35" s="30" t="n"/>
      <c r="AG35" s="30" t="n"/>
      <c r="AH35" s="30" t="n"/>
    </row>
    <row r="36">
      <c r="A36" s="34" t="n">
        <v>34</v>
      </c>
      <c r="B36" s="34" t="inlineStr">
        <is>
          <t>Nurture</t>
        </is>
      </c>
      <c r="C36" s="34" t="n">
        <v>5</v>
      </c>
      <c r="D36" s="35" t="inlineStr">
        <is>
          <t>keep warm</t>
        </is>
      </c>
      <c r="E36" s="34" t="inlineStr">
        <is>
          <t>NEW</t>
        </is>
      </c>
      <c r="F36" s="34" t="n"/>
      <c r="G36" s="34" t="inlineStr">
        <is>
          <t>tracy tam</t>
        </is>
      </c>
      <c r="H36" s="34" t="inlineStr">
        <is>
          <t>tracy</t>
        </is>
      </c>
      <c r="I36" s="36" t="inlineStr">
        <is>
          <t>63517678</t>
        </is>
      </c>
      <c r="J36" s="34" t="inlineStr">
        <is>
          <t>Female</t>
        </is>
      </c>
      <c r="K36" s="34" t="n">
        <v>28</v>
      </c>
      <c r="L36" s="34" t="inlineStr">
        <is>
          <t>Ex colleague</t>
        </is>
      </c>
      <c r="M36" s="34" t="n">
        <v>1</v>
      </c>
      <c r="N36" s="34" t="n">
        <v>1</v>
      </c>
      <c r="O36" s="34" t="inlineStr">
        <is>
          <t>Customer care office</t>
        </is>
      </c>
      <c r="P36" s="34" t="inlineStr">
        <is>
          <t>Tai Kok Tsui</t>
        </is>
      </c>
      <c r="Q36" s="34" t="inlineStr">
        <is>
          <t>$24000</t>
        </is>
      </c>
      <c r="R36" s="35" t="inlineStr">
        <is>
          <t>CI, Retirement</t>
        </is>
      </c>
      <c r="S36" s="35" t="inlineStr">
        <is>
          <t>approch for retired/ci</t>
        </is>
      </c>
      <c r="T36" s="34" t="n"/>
      <c r="U36" s="34" t="inlineStr">
        <is>
          <t>Not contacted</t>
        </is>
      </c>
      <c r="V36" s="37" t="n"/>
      <c r="W36" s="37" t="n"/>
      <c r="X36">
        <f>IF($W36="","",IF(DATE(YEAR(TODAY()),MONTH($W36),DAY($W36))&gt;=TODAY(),DATE(YEAR(TODAY()),MONTH($W36),DAY($W36))-TODAY(),DATE(YEAR(TODAY())+1,MONTH($W36),DAY($W36))-TODAY()))</f>
        <v/>
      </c>
      <c r="Y36">
        <f>IF($X36="","",IF($X36&lt;=30,"YES",""))</f>
        <v/>
      </c>
      <c r="Z36" s="34">
        <f>IF($F36="Yes","Champion",IF($AB36&gt;=2,"Advocate",IF($AB36&gt;=1,"Referrer",IF($M36&gt;=4,"High Potential",IF($M36&gt;=3,"Standard","New"))))))</f>
        <v/>
      </c>
      <c r="AA36" s="34" t="inlineStr">
        <is>
          <t>No</t>
        </is>
      </c>
      <c r="AB36" s="34" t="n">
        <v>0</v>
      </c>
      <c r="AC36" s="34" t="n"/>
      <c r="AD36" s="37" t="n"/>
      <c r="AE36" s="35" t="n"/>
      <c r="AF36" s="34" t="n"/>
      <c r="AG36" s="34" t="n"/>
      <c r="AH36" s="34" t="n"/>
    </row>
    <row r="37">
      <c r="A37" s="30" t="n">
        <v>35</v>
      </c>
      <c r="B37" s="30" t="inlineStr">
        <is>
          <t>Nurture</t>
        </is>
      </c>
      <c r="C37" s="30" t="n">
        <v>5</v>
      </c>
      <c r="D37" s="31" t="n"/>
      <c r="E37" s="30" t="inlineStr">
        <is>
          <t>NEW</t>
        </is>
      </c>
      <c r="F37" s="30" t="n"/>
      <c r="G37" s="30" t="inlineStr">
        <is>
          <t>Alan Tai</t>
        </is>
      </c>
      <c r="H37" s="30" t="inlineStr">
        <is>
          <t>Alan</t>
        </is>
      </c>
      <c r="I37" s="32" t="inlineStr">
        <is>
          <t>63485740</t>
        </is>
      </c>
      <c r="J37" s="30" t="inlineStr">
        <is>
          <t>Male</t>
        </is>
      </c>
      <c r="K37" s="30" t="n">
        <v>30</v>
      </c>
      <c r="L37" s="30" t="inlineStr">
        <is>
          <t>Ex colleague</t>
        </is>
      </c>
      <c r="M37" s="30" t="n">
        <v>2</v>
      </c>
      <c r="N37" s="30" t="n">
        <v>2</v>
      </c>
      <c r="O37" s="30" t="inlineStr">
        <is>
          <t>Customer service officer</t>
        </is>
      </c>
      <c r="P37" s="30" t="inlineStr">
        <is>
          <t>Tai Kok Tsui</t>
        </is>
      </c>
      <c r="Q37" s="30" t="inlineStr">
        <is>
          <t>$31000</t>
        </is>
      </c>
      <c r="R37" s="31" t="n"/>
      <c r="S37" s="31" t="n"/>
      <c r="T37" s="30" t="n"/>
      <c r="U37" s="30" t="inlineStr">
        <is>
          <t>Not contacted</t>
        </is>
      </c>
      <c r="V37" s="33" t="n"/>
      <c r="W37" s="33" t="n"/>
      <c r="X37">
        <f>IF($W37="","",IF(DATE(YEAR(TODAY()),MONTH($W37),DAY($W37))&gt;=TODAY(),DATE(YEAR(TODAY()),MONTH($W37),DAY($W37))-TODAY(),DATE(YEAR(TODAY())+1,MONTH($W37),DAY($W37))-TODAY()))</f>
        <v/>
      </c>
      <c r="Y37">
        <f>IF($X37="","",IF($X37&lt;=30,"YES",""))</f>
        <v/>
      </c>
      <c r="Z37" s="30">
        <f>IF($F37="Yes","Champion",IF($AB37&gt;=2,"Advocate",IF($AB37&gt;=1,"Referrer",IF($M37&gt;=4,"High Potential",IF($M37&gt;=3,"Standard","New"))))))</f>
        <v/>
      </c>
      <c r="AA37" s="30" t="inlineStr">
        <is>
          <t>No</t>
        </is>
      </c>
      <c r="AB37" s="30" t="n">
        <v>0</v>
      </c>
      <c r="AC37" s="30" t="n"/>
      <c r="AD37" s="33" t="n"/>
      <c r="AE37" s="31" t="n"/>
      <c r="AF37" s="30" t="n"/>
      <c r="AG37" s="30" t="n"/>
      <c r="AH37" s="30" t="n"/>
    </row>
    <row r="38">
      <c r="A38" s="34" t="n">
        <v>36</v>
      </c>
      <c r="B38" s="34" t="inlineStr">
        <is>
          <t>Nurture</t>
        </is>
      </c>
      <c r="C38" s="34" t="n">
        <v>5</v>
      </c>
      <c r="D38" s="35" t="n"/>
      <c r="E38" s="34" t="inlineStr">
        <is>
          <t>NEW</t>
        </is>
      </c>
      <c r="F38" s="34" t="n"/>
      <c r="G38" s="34" t="inlineStr">
        <is>
          <t>Alfred Chong</t>
        </is>
      </c>
      <c r="H38" s="34" t="inlineStr">
        <is>
          <t>Alfred</t>
        </is>
      </c>
      <c r="I38" s="36" t="inlineStr">
        <is>
          <t>51096599</t>
        </is>
      </c>
      <c r="J38" s="34" t="inlineStr">
        <is>
          <t>Male</t>
        </is>
      </c>
      <c r="K38" s="34" t="n">
        <v>34</v>
      </c>
      <c r="L38" s="34" t="inlineStr">
        <is>
          <t>Ex colleague</t>
        </is>
      </c>
      <c r="M38" s="34" t="n">
        <v>2</v>
      </c>
      <c r="N38" s="34" t="n">
        <v>2</v>
      </c>
      <c r="O38" s="34" t="inlineStr">
        <is>
          <t>HSBC trainer</t>
        </is>
      </c>
      <c r="P38" s="34" t="inlineStr">
        <is>
          <t>Tai Kok Tsui</t>
        </is>
      </c>
      <c r="Q38" s="34" t="inlineStr">
        <is>
          <t>$32000</t>
        </is>
      </c>
      <c r="R38" s="35" t="n"/>
      <c r="S38" s="35" t="n"/>
      <c r="T38" s="34" t="n"/>
      <c r="U38" s="34" t="inlineStr">
        <is>
          <t>Not contacted</t>
        </is>
      </c>
      <c r="V38" s="37" t="n"/>
      <c r="W38" s="37" t="n"/>
      <c r="X38">
        <f>IF($W38="","",IF(DATE(YEAR(TODAY()),MONTH($W38),DAY($W38))&gt;=TODAY(),DATE(YEAR(TODAY()),MONTH($W38),DAY($W38))-TODAY(),DATE(YEAR(TODAY())+1,MONTH($W38),DAY($W38))-TODAY()))</f>
        <v/>
      </c>
      <c r="Y38">
        <f>IF($X38="","",IF($X38&lt;=30,"YES",""))</f>
        <v/>
      </c>
      <c r="Z38" s="34">
        <f>IF($F38="Yes","Champion",IF($AB38&gt;=2,"Advocate",IF($AB38&gt;=1,"Referrer",IF($M38&gt;=4,"High Potential",IF($M38&gt;=3,"Standard","New"))))))</f>
        <v/>
      </c>
      <c r="AA38" s="34" t="inlineStr">
        <is>
          <t>No</t>
        </is>
      </c>
      <c r="AB38" s="34" t="n">
        <v>0</v>
      </c>
      <c r="AC38" s="34" t="n"/>
      <c r="AD38" s="37" t="n"/>
      <c r="AE38" s="35" t="n"/>
      <c r="AF38" s="34" t="n"/>
      <c r="AG38" s="34" t="n"/>
      <c r="AH38" s="34" t="n"/>
    </row>
    <row r="39">
      <c r="A39" s="30" t="n">
        <v>37</v>
      </c>
      <c r="B39" s="30" t="inlineStr">
        <is>
          <t>Nurture</t>
        </is>
      </c>
      <c r="C39" s="30" t="n">
        <v>5</v>
      </c>
      <c r="D39" s="31" t="n"/>
      <c r="E39" s="30" t="inlineStr">
        <is>
          <t>NEW</t>
        </is>
      </c>
      <c r="F39" s="30" t="n"/>
      <c r="G39" s="30" t="inlineStr">
        <is>
          <t>Anthony</t>
        </is>
      </c>
      <c r="H39" s="30" t="inlineStr">
        <is>
          <t>Anthony</t>
        </is>
      </c>
      <c r="I39" s="32" t="inlineStr">
        <is>
          <t>65879966</t>
        </is>
      </c>
      <c r="J39" s="30" t="inlineStr">
        <is>
          <t>male</t>
        </is>
      </c>
      <c r="K39" s="30" t="n">
        <v>28</v>
      </c>
      <c r="L39" s="30" t="inlineStr">
        <is>
          <t>Ex colleague</t>
        </is>
      </c>
      <c r="M39" s="30" t="n">
        <v>2</v>
      </c>
      <c r="N39" s="30" t="n">
        <v>2</v>
      </c>
      <c r="O39" s="30" t="inlineStr">
        <is>
          <t>Customer service officer</t>
        </is>
      </c>
      <c r="P39" s="30" t="inlineStr">
        <is>
          <t>Tai Kok Tsui</t>
        </is>
      </c>
      <c r="Q39" s="30" t="inlineStr">
        <is>
          <t>$22000</t>
        </is>
      </c>
      <c r="R39" s="31" t="n"/>
      <c r="S39" s="31" t="n"/>
      <c r="T39" s="30" t="n"/>
      <c r="U39" s="30" t="inlineStr">
        <is>
          <t>Not contacted</t>
        </is>
      </c>
      <c r="V39" s="33" t="n"/>
      <c r="W39" s="33" t="n"/>
      <c r="X39">
        <f>IF($W39="","",IF(DATE(YEAR(TODAY()),MONTH($W39),DAY($W39))&gt;=TODAY(),DATE(YEAR(TODAY()),MONTH($W39),DAY($W39))-TODAY(),DATE(YEAR(TODAY())+1,MONTH($W39),DAY($W39))-TODAY()))</f>
        <v/>
      </c>
      <c r="Y39">
        <f>IF($X39="","",IF($X39&lt;=30,"YES",""))</f>
        <v/>
      </c>
      <c r="Z39" s="30">
        <f>IF($F39="Yes","Champion",IF($AB39&gt;=2,"Advocate",IF($AB39&gt;=1,"Referrer",IF($M39&gt;=4,"High Potential",IF($M39&gt;=3,"Standard","New"))))))</f>
        <v/>
      </c>
      <c r="AA39" s="30" t="inlineStr">
        <is>
          <t>No</t>
        </is>
      </c>
      <c r="AB39" s="30" t="n">
        <v>0</v>
      </c>
      <c r="AC39" s="30" t="n"/>
      <c r="AD39" s="33" t="n"/>
      <c r="AE39" s="31" t="n"/>
      <c r="AF39" s="30" t="n"/>
      <c r="AG39" s="30" t="n"/>
      <c r="AH39" s="30" t="n"/>
    </row>
    <row r="40">
      <c r="A40" s="34" t="n">
        <v>38</v>
      </c>
      <c r="B40" s="34" t="inlineStr">
        <is>
          <t>Nurture</t>
        </is>
      </c>
      <c r="C40" s="34" t="n">
        <v>5</v>
      </c>
      <c r="D40" s="35" t="n"/>
      <c r="E40" s="34" t="inlineStr">
        <is>
          <t>NEW</t>
        </is>
      </c>
      <c r="F40" s="34" t="n"/>
      <c r="G40" s="34" t="inlineStr">
        <is>
          <t>Bobby Tang</t>
        </is>
      </c>
      <c r="H40" s="34" t="inlineStr">
        <is>
          <t>Bobby</t>
        </is>
      </c>
      <c r="I40" s="36" t="inlineStr">
        <is>
          <t>51281987</t>
        </is>
      </c>
      <c r="J40" s="34" t="inlineStr">
        <is>
          <t>Male</t>
        </is>
      </c>
      <c r="K40" s="34" t="n">
        <v>27</v>
      </c>
      <c r="L40" s="34" t="inlineStr">
        <is>
          <t>Ex colleague</t>
        </is>
      </c>
      <c r="M40" s="34" t="n">
        <v>2</v>
      </c>
      <c r="N40" s="34" t="n">
        <v>2</v>
      </c>
      <c r="O40" s="34" t="inlineStr">
        <is>
          <t>Customer service officer</t>
        </is>
      </c>
      <c r="P40" s="34" t="inlineStr">
        <is>
          <t>Tai Kok Tsui</t>
        </is>
      </c>
      <c r="Q40" s="34" t="inlineStr">
        <is>
          <t>$23000</t>
        </is>
      </c>
      <c r="R40" s="35" t="n"/>
      <c r="S40" s="35" t="n"/>
      <c r="T40" s="34" t="n"/>
      <c r="U40" s="34" t="inlineStr">
        <is>
          <t>Not contacted</t>
        </is>
      </c>
      <c r="V40" s="37" t="n"/>
      <c r="W40" s="37" t="n"/>
      <c r="X40">
        <f>IF($W40="","",IF(DATE(YEAR(TODAY()),MONTH($W40),DAY($W40))&gt;=TODAY(),DATE(YEAR(TODAY()),MONTH($W40),DAY($W40))-TODAY(),DATE(YEAR(TODAY())+1,MONTH($W40),DAY($W40))-TODAY()))</f>
        <v/>
      </c>
      <c r="Y40">
        <f>IF($X40="","",IF($X40&lt;=30,"YES",""))</f>
        <v/>
      </c>
      <c r="Z40" s="34">
        <f>IF($F40="Yes","Champion",IF($AB40&gt;=2,"Advocate",IF($AB40&gt;=1,"Referrer",IF($M40&gt;=4,"High Potential",IF($M40&gt;=3,"Standard","New"))))))</f>
        <v/>
      </c>
      <c r="AA40" s="34" t="inlineStr">
        <is>
          <t>No</t>
        </is>
      </c>
      <c r="AB40" s="34" t="n">
        <v>0</v>
      </c>
      <c r="AC40" s="34" t="n"/>
      <c r="AD40" s="37" t="n"/>
      <c r="AE40" s="35" t="n"/>
      <c r="AF40" s="34" t="n"/>
      <c r="AG40" s="34" t="n"/>
      <c r="AH40" s="34" t="n"/>
    </row>
    <row r="41">
      <c r="A41" s="30" t="n">
        <v>39</v>
      </c>
      <c r="B41" s="30" t="inlineStr">
        <is>
          <t>Nurture</t>
        </is>
      </c>
      <c r="C41" s="30" t="n">
        <v>5</v>
      </c>
      <c r="D41" s="31" t="n"/>
      <c r="E41" s="30" t="inlineStr">
        <is>
          <t>NEW</t>
        </is>
      </c>
      <c r="F41" s="30" t="n"/>
      <c r="G41" s="30" t="inlineStr">
        <is>
          <t>Carl cheung</t>
        </is>
      </c>
      <c r="H41" s="30" t="inlineStr">
        <is>
          <t>Cral</t>
        </is>
      </c>
      <c r="I41" s="32" t="inlineStr">
        <is>
          <t>54447205</t>
        </is>
      </c>
      <c r="J41" s="30" t="inlineStr">
        <is>
          <t>Male</t>
        </is>
      </c>
      <c r="K41" s="30" t="n">
        <v>24</v>
      </c>
      <c r="L41" s="30" t="inlineStr">
        <is>
          <t>Friend</t>
        </is>
      </c>
      <c r="M41" s="30" t="n">
        <v>2</v>
      </c>
      <c r="N41" s="30" t="n">
        <v>2</v>
      </c>
      <c r="O41" s="30" t="inlineStr">
        <is>
          <t>Sub sub contractor</t>
        </is>
      </c>
      <c r="P41" s="30" t="inlineStr">
        <is>
          <t>unknown</t>
        </is>
      </c>
      <c r="Q41" s="30" t="inlineStr">
        <is>
          <t>$30000</t>
        </is>
      </c>
      <c r="R41" s="31" t="n"/>
      <c r="S41" s="31" t="n"/>
      <c r="T41" s="30" t="n"/>
      <c r="U41" s="30" t="inlineStr">
        <is>
          <t>Not contacted</t>
        </is>
      </c>
      <c r="V41" s="33" t="n"/>
      <c r="W41" s="33" t="n"/>
      <c r="X41">
        <f>IF($W41="","",IF(DATE(YEAR(TODAY()),MONTH($W41),DAY($W41))&gt;=TODAY(),DATE(YEAR(TODAY()),MONTH($W41),DAY($W41))-TODAY(),DATE(YEAR(TODAY())+1,MONTH($W41),DAY($W41))-TODAY()))</f>
        <v/>
      </c>
      <c r="Y41">
        <f>IF($X41="","",IF($X41&lt;=30,"YES",""))</f>
        <v/>
      </c>
      <c r="Z41" s="30">
        <f>IF($F41="Yes","Champion",IF($AB41&gt;=2,"Advocate",IF($AB41&gt;=1,"Referrer",IF($M41&gt;=4,"High Potential",IF($M41&gt;=3,"Standard","New"))))))</f>
        <v/>
      </c>
      <c r="AA41" s="30" t="inlineStr">
        <is>
          <t>No</t>
        </is>
      </c>
      <c r="AB41" s="30" t="n">
        <v>0</v>
      </c>
      <c r="AC41" s="30" t="n"/>
      <c r="AD41" s="33" t="n"/>
      <c r="AE41" s="31" t="n"/>
      <c r="AF41" s="30" t="n"/>
      <c r="AG41" s="30" t="n"/>
      <c r="AH41" s="30" t="n"/>
    </row>
    <row r="42">
      <c r="A42" s="34" t="n">
        <v>40</v>
      </c>
      <c r="B42" s="34" t="inlineStr">
        <is>
          <t>Nurture</t>
        </is>
      </c>
      <c r="C42" s="34" t="n">
        <v>5</v>
      </c>
      <c r="D42" s="35" t="n"/>
      <c r="E42" s="34" t="inlineStr">
        <is>
          <t>NEW</t>
        </is>
      </c>
      <c r="F42" s="34" t="n"/>
      <c r="G42" s="34" t="inlineStr">
        <is>
          <t>Carlo Chow</t>
        </is>
      </c>
      <c r="H42" s="34" t="inlineStr">
        <is>
          <t>Carlo</t>
        </is>
      </c>
      <c r="I42" s="36" t="inlineStr">
        <is>
          <t>61742338</t>
        </is>
      </c>
      <c r="J42" s="34" t="inlineStr">
        <is>
          <t>Male</t>
        </is>
      </c>
      <c r="K42" s="34" t="n">
        <v>35</v>
      </c>
      <c r="L42" s="34" t="inlineStr">
        <is>
          <t>Ex colleague</t>
        </is>
      </c>
      <c r="M42" s="34" t="n">
        <v>2</v>
      </c>
      <c r="N42" s="34" t="n">
        <v>2</v>
      </c>
      <c r="O42" s="34" t="inlineStr">
        <is>
          <t>HSBC trainer</t>
        </is>
      </c>
      <c r="P42" s="34" t="inlineStr">
        <is>
          <t>Tai Kok Tsui</t>
        </is>
      </c>
      <c r="Q42" s="34" t="inlineStr">
        <is>
          <t>$32000</t>
        </is>
      </c>
      <c r="R42" s="35" t="n"/>
      <c r="S42" s="35" t="n"/>
      <c r="T42" s="34" t="n"/>
      <c r="U42" s="34" t="inlineStr">
        <is>
          <t>Not contacted</t>
        </is>
      </c>
      <c r="V42" s="37" t="n"/>
      <c r="W42" s="37" t="n"/>
      <c r="X42">
        <f>IF($W42="","",IF(DATE(YEAR(TODAY()),MONTH($W42),DAY($W42))&gt;=TODAY(),DATE(YEAR(TODAY()),MONTH($W42),DAY($W42))-TODAY(),DATE(YEAR(TODAY())+1,MONTH($W42),DAY($W42))-TODAY()))</f>
        <v/>
      </c>
      <c r="Y42">
        <f>IF($X42="","",IF($X42&lt;=30,"YES",""))</f>
        <v/>
      </c>
      <c r="Z42" s="34">
        <f>IF($F42="Yes","Champion",IF($AB42&gt;=2,"Advocate",IF($AB42&gt;=1,"Referrer",IF($M42&gt;=4,"High Potential",IF($M42&gt;=3,"Standard","New"))))))</f>
        <v/>
      </c>
      <c r="AA42" s="34" t="inlineStr">
        <is>
          <t>No</t>
        </is>
      </c>
      <c r="AB42" s="34" t="n">
        <v>0</v>
      </c>
      <c r="AC42" s="34" t="n"/>
      <c r="AD42" s="37" t="n"/>
      <c r="AE42" s="35" t="n"/>
      <c r="AF42" s="34" t="n"/>
      <c r="AG42" s="34" t="n"/>
      <c r="AH42" s="34" t="n"/>
    </row>
    <row r="43">
      <c r="A43" s="30" t="n">
        <v>41</v>
      </c>
      <c r="B43" s="30" t="inlineStr">
        <is>
          <t>Nurture</t>
        </is>
      </c>
      <c r="C43" s="30" t="n">
        <v>5</v>
      </c>
      <c r="D43" s="31" t="n"/>
      <c r="E43" s="30" t="inlineStr">
        <is>
          <t>NEW</t>
        </is>
      </c>
      <c r="F43" s="30" t="n"/>
      <c r="G43" s="30" t="inlineStr">
        <is>
          <t>Chow kai Hei</t>
        </is>
      </c>
      <c r="H43" s="30" t="inlineStr">
        <is>
          <t>Fat Hei</t>
        </is>
      </c>
      <c r="I43" s="32" t="inlineStr">
        <is>
          <t>95000255</t>
        </is>
      </c>
      <c r="J43" s="30" t="inlineStr">
        <is>
          <t>Male</t>
        </is>
      </c>
      <c r="K43" s="30" t="n">
        <v>23</v>
      </c>
      <c r="L43" s="30" t="inlineStr">
        <is>
          <t>Friend</t>
        </is>
      </c>
      <c r="M43" s="30" t="n">
        <v>3</v>
      </c>
      <c r="N43" s="30" t="n">
        <v>1</v>
      </c>
      <c r="O43" s="30" t="inlineStr">
        <is>
          <t>security gurad</t>
        </is>
      </c>
      <c r="P43" s="30" t="inlineStr">
        <is>
          <t>Tin Shui Wai</t>
        </is>
      </c>
      <c r="Q43" s="30" t="inlineStr">
        <is>
          <t>$20000</t>
        </is>
      </c>
      <c r="R43" s="31" t="n"/>
      <c r="S43" s="31" t="n"/>
      <c r="T43" s="30" t="n"/>
      <c r="U43" s="30" t="inlineStr">
        <is>
          <t>Not contacted</t>
        </is>
      </c>
      <c r="V43" s="33" t="n"/>
      <c r="W43" s="33" t="n"/>
      <c r="X43">
        <f>IF($W43="","",IF(DATE(YEAR(TODAY()),MONTH($W43),DAY($W43))&gt;=TODAY(),DATE(YEAR(TODAY()),MONTH($W43),DAY($W43))-TODAY(),DATE(YEAR(TODAY())+1,MONTH($W43),DAY($W43))-TODAY()))</f>
        <v/>
      </c>
      <c r="Y43">
        <f>IF($X43="","",IF($X43&lt;=30,"YES",""))</f>
        <v/>
      </c>
      <c r="Z43" s="30">
        <f>IF($F43="Yes","Champion",IF($AB43&gt;=2,"Advocate",IF($AB43&gt;=1,"Referrer",IF($M43&gt;=4,"High Potential",IF($M43&gt;=3,"Standard","New"))))))</f>
        <v/>
      </c>
      <c r="AA43" s="30" t="inlineStr">
        <is>
          <t>No</t>
        </is>
      </c>
      <c r="AB43" s="30" t="n">
        <v>0</v>
      </c>
      <c r="AC43" s="30" t="n"/>
      <c r="AD43" s="33" t="n"/>
      <c r="AE43" s="31" t="n"/>
      <c r="AF43" s="30" t="n"/>
      <c r="AG43" s="30" t="n"/>
      <c r="AH43" s="30" t="n"/>
    </row>
    <row r="44">
      <c r="A44" s="34" t="n">
        <v>42</v>
      </c>
      <c r="B44" s="34" t="inlineStr">
        <is>
          <t>Nurture</t>
        </is>
      </c>
      <c r="C44" s="34" t="n">
        <v>5</v>
      </c>
      <c r="D44" s="35" t="n"/>
      <c r="E44" s="34" t="inlineStr">
        <is>
          <t>NEW</t>
        </is>
      </c>
      <c r="F44" s="34" t="n"/>
      <c r="G44" s="34" t="inlineStr">
        <is>
          <t>Ivy Wong</t>
        </is>
      </c>
      <c r="H44" s="34" t="inlineStr">
        <is>
          <t>Ivy</t>
        </is>
      </c>
      <c r="I44" s="36" t="inlineStr">
        <is>
          <t>52221726</t>
        </is>
      </c>
      <c r="J44" s="34" t="inlineStr">
        <is>
          <t>Female</t>
        </is>
      </c>
      <c r="K44" s="34" t="n">
        <v>24</v>
      </c>
      <c r="L44" s="34" t="inlineStr">
        <is>
          <t>Ex colleague</t>
        </is>
      </c>
      <c r="M44" s="34" t="n">
        <v>2</v>
      </c>
      <c r="N44" s="34" t="n">
        <v>2</v>
      </c>
      <c r="O44" s="34" t="inlineStr">
        <is>
          <t>Customer service officer</t>
        </is>
      </c>
      <c r="P44" s="34" t="inlineStr">
        <is>
          <t>Tai Kok Tsui</t>
        </is>
      </c>
      <c r="Q44" s="34" t="inlineStr">
        <is>
          <t>$20250</t>
        </is>
      </c>
      <c r="R44" s="35" t="inlineStr">
        <is>
          <t>Recruit</t>
        </is>
      </c>
      <c r="S44" s="35" t="inlineStr">
        <is>
          <t>Protential recruit</t>
        </is>
      </c>
      <c r="T44" s="34" t="n"/>
      <c r="U44" s="34" t="inlineStr">
        <is>
          <t>Not contacted</t>
        </is>
      </c>
      <c r="V44" s="37" t="n"/>
      <c r="W44" s="37" t="n"/>
      <c r="X44">
        <f>IF($W44="","",IF(DATE(YEAR(TODAY()),MONTH($W44),DAY($W44))&gt;=TODAY(),DATE(YEAR(TODAY()),MONTH($W44),DAY($W44))-TODAY(),DATE(YEAR(TODAY())+1,MONTH($W44),DAY($W44))-TODAY()))</f>
        <v/>
      </c>
      <c r="Y44">
        <f>IF($X44="","",IF($X44&lt;=30,"YES",""))</f>
        <v/>
      </c>
      <c r="Z44" s="34">
        <f>IF($F44="Yes","Champion",IF($AB44&gt;=2,"Advocate",IF($AB44&gt;=1,"Referrer",IF($M44&gt;=4,"High Potential",IF($M44&gt;=3,"Standard","New"))))))</f>
        <v/>
      </c>
      <c r="AA44" s="34" t="inlineStr">
        <is>
          <t>No</t>
        </is>
      </c>
      <c r="AB44" s="34" t="n">
        <v>0</v>
      </c>
      <c r="AC44" s="34" t="n"/>
      <c r="AD44" s="37" t="n"/>
      <c r="AE44" s="35" t="n"/>
      <c r="AF44" s="34" t="n"/>
      <c r="AG44" s="34" t="n"/>
      <c r="AH44" s="34" t="n"/>
    </row>
    <row r="45">
      <c r="A45" s="30" t="n">
        <v>43</v>
      </c>
      <c r="B45" s="30" t="inlineStr">
        <is>
          <t>Nurture</t>
        </is>
      </c>
      <c r="C45" s="30" t="n">
        <v>5</v>
      </c>
      <c r="D45" s="31" t="n"/>
      <c r="E45" s="30" t="inlineStr">
        <is>
          <t>NEW</t>
        </is>
      </c>
      <c r="F45" s="30" t="n"/>
      <c r="G45" s="30" t="inlineStr">
        <is>
          <t>James Wong</t>
        </is>
      </c>
      <c r="H45" s="30" t="inlineStr">
        <is>
          <t>James</t>
        </is>
      </c>
      <c r="I45" s="32" t="inlineStr">
        <is>
          <t>66298212</t>
        </is>
      </c>
      <c r="J45" s="30" t="inlineStr">
        <is>
          <t>Male</t>
        </is>
      </c>
      <c r="K45" s="30" t="n">
        <v>32</v>
      </c>
      <c r="L45" s="30" t="inlineStr">
        <is>
          <t>Ex colleague</t>
        </is>
      </c>
      <c r="M45" s="30" t="n">
        <v>2</v>
      </c>
      <c r="N45" s="30" t="n">
        <v>2</v>
      </c>
      <c r="O45" s="30" t="inlineStr">
        <is>
          <t>Customer service officer</t>
        </is>
      </c>
      <c r="P45" s="30" t="inlineStr">
        <is>
          <t>Tai Kok Tsui</t>
        </is>
      </c>
      <c r="Q45" s="30" t="inlineStr">
        <is>
          <t>$23000</t>
        </is>
      </c>
      <c r="R45" s="31" t="inlineStr">
        <is>
          <t>SU</t>
        </is>
      </c>
      <c r="S45" s="31" t="inlineStr">
        <is>
          <t>can approch for su10 (10908)</t>
        </is>
      </c>
      <c r="T45" s="30" t="n"/>
      <c r="U45" s="30" t="inlineStr">
        <is>
          <t>Not contacted</t>
        </is>
      </c>
      <c r="V45" s="33" t="n"/>
      <c r="W45" s="33" t="n"/>
      <c r="X45">
        <f>IF($W45="","",IF(DATE(YEAR(TODAY()),MONTH($W45),DAY($W45))&gt;=TODAY(),DATE(YEAR(TODAY()),MONTH($W45),DAY($W45))-TODAY(),DATE(YEAR(TODAY())+1,MONTH($W45),DAY($W45))-TODAY()))</f>
        <v/>
      </c>
      <c r="Y45">
        <f>IF($X45="","",IF($X45&lt;=30,"YES",""))</f>
        <v/>
      </c>
      <c r="Z45" s="30">
        <f>IF($F45="Yes","Champion",IF($AB45&gt;=2,"Advocate",IF($AB45&gt;=1,"Referrer",IF($M45&gt;=4,"High Potential",IF($M45&gt;=3,"Standard","New"))))))</f>
        <v/>
      </c>
      <c r="AA45" s="30" t="inlineStr">
        <is>
          <t>No</t>
        </is>
      </c>
      <c r="AB45" s="30" t="n">
        <v>0</v>
      </c>
      <c r="AC45" s="30" t="n"/>
      <c r="AD45" s="33" t="n"/>
      <c r="AE45" s="31" t="n"/>
      <c r="AF45" s="30" t="n"/>
      <c r="AG45" s="30" t="n"/>
      <c r="AH45" s="30" t="n"/>
    </row>
    <row r="46">
      <c r="A46" s="34" t="n">
        <v>44</v>
      </c>
      <c r="B46" s="34" t="inlineStr">
        <is>
          <t>Nurture</t>
        </is>
      </c>
      <c r="C46" s="34" t="n">
        <v>5</v>
      </c>
      <c r="D46" s="35" t="n"/>
      <c r="E46" s="34" t="inlineStr">
        <is>
          <t>NEW</t>
        </is>
      </c>
      <c r="F46" s="34" t="n"/>
      <c r="G46" s="34" t="inlineStr">
        <is>
          <t>Jason Kwok</t>
        </is>
      </c>
      <c r="H46" s="34" t="inlineStr">
        <is>
          <t>Jason</t>
        </is>
      </c>
      <c r="I46" s="36" t="inlineStr">
        <is>
          <t>95220366</t>
        </is>
      </c>
      <c r="J46" s="34" t="inlineStr">
        <is>
          <t>Male</t>
        </is>
      </c>
      <c r="K46" s="34" t="n">
        <v>26</v>
      </c>
      <c r="L46" s="34" t="inlineStr">
        <is>
          <t>Ex colleague</t>
        </is>
      </c>
      <c r="M46" s="34" t="n">
        <v>2</v>
      </c>
      <c r="N46" s="34" t="n">
        <v>2</v>
      </c>
      <c r="O46" s="34" t="inlineStr">
        <is>
          <t>Custom</t>
        </is>
      </c>
      <c r="P46" s="34" t="inlineStr">
        <is>
          <t>Tai Kok tsui</t>
        </is>
      </c>
      <c r="Q46" s="34" t="inlineStr">
        <is>
          <t>$26000</t>
        </is>
      </c>
      <c r="R46" s="35" t="n"/>
      <c r="S46" s="35" t="n"/>
      <c r="T46" s="34" t="n"/>
      <c r="U46" s="34" t="inlineStr">
        <is>
          <t>Not contacted</t>
        </is>
      </c>
      <c r="V46" s="37" t="n"/>
      <c r="W46" s="37" t="n"/>
      <c r="X46">
        <f>IF($W46="","",IF(DATE(YEAR(TODAY()),MONTH($W46),DAY($W46))&gt;=TODAY(),DATE(YEAR(TODAY()),MONTH($W46),DAY($W46))-TODAY(),DATE(YEAR(TODAY())+1,MONTH($W46),DAY($W46))-TODAY()))</f>
        <v/>
      </c>
      <c r="Y46">
        <f>IF($X46="","",IF($X46&lt;=30,"YES",""))</f>
        <v/>
      </c>
      <c r="Z46" s="34">
        <f>IF($F46="Yes","Champion",IF($AB46&gt;=2,"Advocate",IF($AB46&gt;=1,"Referrer",IF($M46&gt;=4,"High Potential",IF($M46&gt;=3,"Standard","New"))))))</f>
        <v/>
      </c>
      <c r="AA46" s="34" t="inlineStr">
        <is>
          <t>No</t>
        </is>
      </c>
      <c r="AB46" s="34" t="n">
        <v>0</v>
      </c>
      <c r="AC46" s="34" t="n"/>
      <c r="AD46" s="37" t="n"/>
      <c r="AE46" s="35" t="n"/>
      <c r="AF46" s="34" t="n"/>
      <c r="AG46" s="34" t="n"/>
      <c r="AH46" s="34" t="n"/>
    </row>
    <row r="47">
      <c r="A47" s="30" t="n">
        <v>45</v>
      </c>
      <c r="B47" s="30" t="inlineStr">
        <is>
          <t>Nurture</t>
        </is>
      </c>
      <c r="C47" s="30" t="n">
        <v>5</v>
      </c>
      <c r="D47" s="31" t="n"/>
      <c r="E47" s="30" t="inlineStr">
        <is>
          <t>NEW</t>
        </is>
      </c>
      <c r="F47" s="30" t="n"/>
      <c r="G47" s="30" t="inlineStr">
        <is>
          <t>Jay Wu</t>
        </is>
      </c>
      <c r="H47" s="30" t="inlineStr">
        <is>
          <t>Jay</t>
        </is>
      </c>
      <c r="I47" s="32" t="inlineStr">
        <is>
          <t>98600263</t>
        </is>
      </c>
      <c r="J47" s="30" t="inlineStr">
        <is>
          <t>Male</t>
        </is>
      </c>
      <c r="K47" s="30" t="n">
        <v>26</v>
      </c>
      <c r="L47" s="30" t="inlineStr">
        <is>
          <t>Ex colleague</t>
        </is>
      </c>
      <c r="M47" s="30" t="n">
        <v>2</v>
      </c>
      <c r="N47" s="30" t="n">
        <v>2</v>
      </c>
      <c r="O47" s="30" t="inlineStr">
        <is>
          <t>Customer service officer</t>
        </is>
      </c>
      <c r="P47" s="30" t="inlineStr">
        <is>
          <t>Tai Kok Tsui</t>
        </is>
      </c>
      <c r="Q47" s="30" t="inlineStr">
        <is>
          <t>$20250</t>
        </is>
      </c>
      <c r="R47" s="31" t="n"/>
      <c r="S47" s="31" t="n"/>
      <c r="T47" s="30" t="n"/>
      <c r="U47" s="30" t="inlineStr">
        <is>
          <t>Not contacted</t>
        </is>
      </c>
      <c r="V47" s="33" t="n"/>
      <c r="W47" s="33" t="n"/>
      <c r="X47">
        <f>IF($W47="","",IF(DATE(YEAR(TODAY()),MONTH($W47),DAY($W47))&gt;=TODAY(),DATE(YEAR(TODAY()),MONTH($W47),DAY($W47))-TODAY(),DATE(YEAR(TODAY())+1,MONTH($W47),DAY($W47))-TODAY()))</f>
        <v/>
      </c>
      <c r="Y47">
        <f>IF($X47="","",IF($X47&lt;=30,"YES",""))</f>
        <v/>
      </c>
      <c r="Z47" s="30">
        <f>IF($F47="Yes","Champion",IF($AB47&gt;=2,"Advocate",IF($AB47&gt;=1,"Referrer",IF($M47&gt;=4,"High Potential",IF($M47&gt;=3,"Standard","New"))))))</f>
        <v/>
      </c>
      <c r="AA47" s="30" t="inlineStr">
        <is>
          <t>No</t>
        </is>
      </c>
      <c r="AB47" s="30" t="n">
        <v>0</v>
      </c>
      <c r="AC47" s="30" t="n"/>
      <c r="AD47" s="33" t="n"/>
      <c r="AE47" s="31" t="n"/>
      <c r="AF47" s="30" t="n"/>
      <c r="AG47" s="30" t="n"/>
      <c r="AH47" s="30" t="n"/>
    </row>
    <row r="48">
      <c r="A48" s="34" t="n">
        <v>46</v>
      </c>
      <c r="B48" s="34" t="inlineStr">
        <is>
          <t>Nurture</t>
        </is>
      </c>
      <c r="C48" s="34" t="n">
        <v>5</v>
      </c>
      <c r="D48" s="35" t="n"/>
      <c r="E48" s="34" t="inlineStr">
        <is>
          <t>NEW</t>
        </is>
      </c>
      <c r="F48" s="34" t="n"/>
      <c r="G48" s="34" t="inlineStr">
        <is>
          <t>Ken</t>
        </is>
      </c>
      <c r="H48" s="34" t="inlineStr">
        <is>
          <t>Ken</t>
        </is>
      </c>
      <c r="I48" s="36" t="inlineStr">
        <is>
          <t>66022732</t>
        </is>
      </c>
      <c r="J48" s="34" t="inlineStr">
        <is>
          <t>Male</t>
        </is>
      </c>
      <c r="K48" s="34" t="n">
        <v>24</v>
      </c>
      <c r="L48" s="34" t="inlineStr">
        <is>
          <t>Ex colleague</t>
        </is>
      </c>
      <c r="M48" s="34" t="n">
        <v>2</v>
      </c>
      <c r="N48" s="34" t="n">
        <v>2</v>
      </c>
      <c r="O48" s="34" t="inlineStr">
        <is>
          <t>PT (gym)</t>
        </is>
      </c>
      <c r="P48" s="34" t="inlineStr">
        <is>
          <t>Unknown</t>
        </is>
      </c>
      <c r="Q48" s="34" t="inlineStr">
        <is>
          <t>$25000</t>
        </is>
      </c>
      <c r="R48" s="35" t="n"/>
      <c r="S48" s="35" t="n"/>
      <c r="T48" s="34" t="n"/>
      <c r="U48" s="34" t="inlineStr">
        <is>
          <t>Not contacted</t>
        </is>
      </c>
      <c r="V48" s="37" t="n"/>
      <c r="W48" s="37" t="n"/>
      <c r="X48">
        <f>IF($W48="","",IF(DATE(YEAR(TODAY()),MONTH($W48),DAY($W48))&gt;=TODAY(),DATE(YEAR(TODAY()),MONTH($W48),DAY($W48))-TODAY(),DATE(YEAR(TODAY())+1,MONTH($W48),DAY($W48))-TODAY()))</f>
        <v/>
      </c>
      <c r="Y48">
        <f>IF($X48="","",IF($X48&lt;=30,"YES",""))</f>
        <v/>
      </c>
      <c r="Z48" s="34">
        <f>IF($F48="Yes","Champion",IF($AB48&gt;=2,"Advocate",IF($AB48&gt;=1,"Referrer",IF($M48&gt;=4,"High Potential",IF($M48&gt;=3,"Standard","New"))))))</f>
        <v/>
      </c>
      <c r="AA48" s="34" t="inlineStr">
        <is>
          <t>No</t>
        </is>
      </c>
      <c r="AB48" s="34" t="n">
        <v>0</v>
      </c>
      <c r="AC48" s="34" t="n"/>
      <c r="AD48" s="37" t="n"/>
      <c r="AE48" s="35" t="n"/>
      <c r="AF48" s="34" t="n"/>
      <c r="AG48" s="34" t="n"/>
      <c r="AH48" s="34" t="n"/>
    </row>
    <row r="49">
      <c r="A49" s="30" t="n">
        <v>47</v>
      </c>
      <c r="B49" s="30" t="inlineStr">
        <is>
          <t>Nurture</t>
        </is>
      </c>
      <c r="C49" s="30" t="n">
        <v>5</v>
      </c>
      <c r="D49" s="31" t="n"/>
      <c r="E49" s="30" t="inlineStr">
        <is>
          <t>NEW</t>
        </is>
      </c>
      <c r="F49" s="30" t="n"/>
      <c r="G49" s="30" t="inlineStr">
        <is>
          <t>Ken Ng</t>
        </is>
      </c>
      <c r="H49" s="30" t="inlineStr">
        <is>
          <t>Ken</t>
        </is>
      </c>
      <c r="I49" s="32" t="inlineStr">
        <is>
          <t>65754372</t>
        </is>
      </c>
      <c r="J49" s="30" t="inlineStr">
        <is>
          <t>Male</t>
        </is>
      </c>
      <c r="K49" s="30" t="n">
        <v>34</v>
      </c>
      <c r="L49" s="30" t="inlineStr">
        <is>
          <t>Ex colleague</t>
        </is>
      </c>
      <c r="M49" s="30" t="n">
        <v>2</v>
      </c>
      <c r="N49" s="30" t="n">
        <v>2</v>
      </c>
      <c r="O49" s="30" t="inlineStr">
        <is>
          <t>Customer service officer</t>
        </is>
      </c>
      <c r="P49" s="30" t="inlineStr">
        <is>
          <t>Tai Kok Tsui</t>
        </is>
      </c>
      <c r="Q49" s="30" t="inlineStr">
        <is>
          <t>$30000</t>
        </is>
      </c>
      <c r="R49" s="31" t="n"/>
      <c r="S49" s="31" t="n"/>
      <c r="T49" s="30" t="n"/>
      <c r="U49" s="30" t="inlineStr">
        <is>
          <t>Not contacted</t>
        </is>
      </c>
      <c r="V49" s="33" t="n"/>
      <c r="W49" s="33" t="n"/>
      <c r="X49">
        <f>IF($W49="","",IF(DATE(YEAR(TODAY()),MONTH($W49),DAY($W49))&gt;=TODAY(),DATE(YEAR(TODAY()),MONTH($W49),DAY($W49))-TODAY(),DATE(YEAR(TODAY())+1,MONTH($W49),DAY($W49))-TODAY()))</f>
        <v/>
      </c>
      <c r="Y49">
        <f>IF($X49="","",IF($X49&lt;=30,"YES",""))</f>
        <v/>
      </c>
      <c r="Z49" s="30">
        <f>IF($F49="Yes","Champion",IF($AB49&gt;=2,"Advocate",IF($AB49&gt;=1,"Referrer",IF($M49&gt;=4,"High Potential",IF($M49&gt;=3,"Standard","New"))))))</f>
        <v/>
      </c>
      <c r="AA49" s="30" t="inlineStr">
        <is>
          <t>No</t>
        </is>
      </c>
      <c r="AB49" s="30" t="n">
        <v>0</v>
      </c>
      <c r="AC49" s="30" t="n"/>
      <c r="AD49" s="33" t="n"/>
      <c r="AE49" s="31" t="n"/>
      <c r="AF49" s="30" t="n"/>
      <c r="AG49" s="30" t="n"/>
      <c r="AH49" s="30" t="n"/>
    </row>
    <row r="50">
      <c r="A50" s="34" t="n">
        <v>48</v>
      </c>
      <c r="B50" s="34" t="inlineStr">
        <is>
          <t>Nurture</t>
        </is>
      </c>
      <c r="C50" s="34" t="n">
        <v>5</v>
      </c>
      <c r="D50" s="35" t="n"/>
      <c r="E50" s="34" t="inlineStr">
        <is>
          <t>NEW</t>
        </is>
      </c>
      <c r="F50" s="34" t="n"/>
      <c r="G50" s="34" t="inlineStr">
        <is>
          <t>River Lo</t>
        </is>
      </c>
      <c r="H50" s="34" t="inlineStr">
        <is>
          <t>River</t>
        </is>
      </c>
      <c r="I50" s="36" t="inlineStr">
        <is>
          <t>69249975</t>
        </is>
      </c>
      <c r="J50" s="34" t="inlineStr">
        <is>
          <t>Male</t>
        </is>
      </c>
      <c r="K50" s="34" t="n">
        <v>32</v>
      </c>
      <c r="L50" s="34" t="inlineStr">
        <is>
          <t>Ex colleague</t>
        </is>
      </c>
      <c r="M50" s="34" t="n">
        <v>2</v>
      </c>
      <c r="N50" s="34" t="n">
        <v>2</v>
      </c>
      <c r="O50" s="34" t="inlineStr">
        <is>
          <t>Customer service officer</t>
        </is>
      </c>
      <c r="P50" s="34" t="inlineStr">
        <is>
          <t>Tai Kok Tsui</t>
        </is>
      </c>
      <c r="Q50" s="34" t="inlineStr">
        <is>
          <t>$22000</t>
        </is>
      </c>
      <c r="R50" s="35" t="n"/>
      <c r="S50" s="35" t="n"/>
      <c r="T50" s="34" t="n"/>
      <c r="U50" s="34" t="inlineStr">
        <is>
          <t>Not contacted</t>
        </is>
      </c>
      <c r="V50" s="37" t="n"/>
      <c r="W50" s="37" t="n"/>
      <c r="X50">
        <f>IF($W50="","",IF(DATE(YEAR(TODAY()),MONTH($W50),DAY($W50))&gt;=TODAY(),DATE(YEAR(TODAY()),MONTH($W50),DAY($W50))-TODAY(),DATE(YEAR(TODAY())+1,MONTH($W50),DAY($W50))-TODAY()))</f>
        <v/>
      </c>
      <c r="Y50">
        <f>IF($X50="","",IF($X50&lt;=30,"YES",""))</f>
        <v/>
      </c>
      <c r="Z50" s="34">
        <f>IF($F50="Yes","Champion",IF($AB50&gt;=2,"Advocate",IF($AB50&gt;=1,"Referrer",IF($M50&gt;=4,"High Potential",IF($M50&gt;=3,"Standard","New"))))))</f>
        <v/>
      </c>
      <c r="AA50" s="34" t="inlineStr">
        <is>
          <t>No</t>
        </is>
      </c>
      <c r="AB50" s="34" t="n">
        <v>0</v>
      </c>
      <c r="AC50" s="34" t="n"/>
      <c r="AD50" s="37" t="n"/>
      <c r="AE50" s="35" t="n"/>
      <c r="AF50" s="34" t="n"/>
      <c r="AG50" s="34" t="n"/>
      <c r="AH50" s="34" t="n"/>
    </row>
    <row r="51">
      <c r="A51" s="30" t="n">
        <v>49</v>
      </c>
      <c r="B51" s="30" t="inlineStr">
        <is>
          <t>Nurture</t>
        </is>
      </c>
      <c r="C51" s="30" t="n">
        <v>5</v>
      </c>
      <c r="D51" s="31" t="n"/>
      <c r="E51" s="30" t="inlineStr">
        <is>
          <t>NEW</t>
        </is>
      </c>
      <c r="F51" s="30" t="n"/>
      <c r="G51" s="30" t="inlineStr">
        <is>
          <t>Steven Wong</t>
        </is>
      </c>
      <c r="H51" s="30" t="inlineStr">
        <is>
          <t>Steven</t>
        </is>
      </c>
      <c r="I51" s="32" t="inlineStr">
        <is>
          <t>69948553</t>
        </is>
      </c>
      <c r="J51" s="30" t="inlineStr">
        <is>
          <t>Male</t>
        </is>
      </c>
      <c r="K51" s="30" t="n">
        <v>28</v>
      </c>
      <c r="L51" s="30" t="inlineStr">
        <is>
          <t>Ex colleague</t>
        </is>
      </c>
      <c r="M51" s="30" t="n">
        <v>2</v>
      </c>
      <c r="N51" s="30" t="n">
        <v>2</v>
      </c>
      <c r="O51" s="30" t="inlineStr">
        <is>
          <t>Customer service officer</t>
        </is>
      </c>
      <c r="P51" s="30" t="inlineStr">
        <is>
          <t>Tai Kok Tsui</t>
        </is>
      </c>
      <c r="Q51" s="30" t="inlineStr">
        <is>
          <t>$30000</t>
        </is>
      </c>
      <c r="R51" s="31" t="n"/>
      <c r="S51" s="31" t="n"/>
      <c r="T51" s="30" t="n"/>
      <c r="U51" s="30" t="inlineStr">
        <is>
          <t>Not contacted</t>
        </is>
      </c>
      <c r="V51" s="33" t="n"/>
      <c r="W51" s="33" t="n"/>
      <c r="X51">
        <f>IF($W51="","",IF(DATE(YEAR(TODAY()),MONTH($W51),DAY($W51))&gt;=TODAY(),DATE(YEAR(TODAY()),MONTH($W51),DAY($W51))-TODAY(),DATE(YEAR(TODAY())+1,MONTH($W51),DAY($W51))-TODAY()))</f>
        <v/>
      </c>
      <c r="Y51">
        <f>IF($X51="","",IF($X51&lt;=30,"YES",""))</f>
        <v/>
      </c>
      <c r="Z51" s="30">
        <f>IF($F51="Yes","Champion",IF($AB51&gt;=2,"Advocate",IF($AB51&gt;=1,"Referrer",IF($M51&gt;=4,"High Potential",IF($M51&gt;=3,"Standard","New"))))))</f>
        <v/>
      </c>
      <c r="AA51" s="30" t="inlineStr">
        <is>
          <t>No</t>
        </is>
      </c>
      <c r="AB51" s="30" t="n">
        <v>0</v>
      </c>
      <c r="AC51" s="30" t="n"/>
      <c r="AD51" s="33" t="n"/>
      <c r="AE51" s="31" t="n"/>
      <c r="AF51" s="30" t="n"/>
      <c r="AG51" s="30" t="n"/>
      <c r="AH51" s="30" t="n"/>
    </row>
    <row r="52">
      <c r="A52" s="34" t="n">
        <v>50</v>
      </c>
      <c r="B52" s="34" t="inlineStr">
        <is>
          <t>Nurture</t>
        </is>
      </c>
      <c r="C52" s="34" t="n">
        <v>5</v>
      </c>
      <c r="D52" s="35" t="n"/>
      <c r="E52" s="34" t="inlineStr">
        <is>
          <t>NEW</t>
        </is>
      </c>
      <c r="F52" s="34" t="n"/>
      <c r="G52" s="34" t="inlineStr">
        <is>
          <t>Sze Ting</t>
        </is>
      </c>
      <c r="H52" s="34" t="inlineStr">
        <is>
          <t>SzeTing</t>
        </is>
      </c>
      <c r="I52" s="36" t="inlineStr">
        <is>
          <t>69756654</t>
        </is>
      </c>
      <c r="J52" s="34" t="inlineStr">
        <is>
          <t>Female</t>
        </is>
      </c>
      <c r="K52" s="34" t="n">
        <v>23</v>
      </c>
      <c r="L52" s="34" t="inlineStr">
        <is>
          <t>Ex colleague</t>
        </is>
      </c>
      <c r="M52" s="34" t="n">
        <v>2</v>
      </c>
      <c r="N52" s="34" t="n">
        <v>2</v>
      </c>
      <c r="O52" s="34" t="inlineStr">
        <is>
          <t>Customer service officer</t>
        </is>
      </c>
      <c r="P52" s="34" t="inlineStr">
        <is>
          <t>Tai Kok Tsui</t>
        </is>
      </c>
      <c r="Q52" s="34" t="inlineStr">
        <is>
          <t>$20250</t>
        </is>
      </c>
      <c r="R52" s="35" t="n"/>
      <c r="S52" s="35" t="n"/>
      <c r="T52" s="34" t="n"/>
      <c r="U52" s="34" t="inlineStr">
        <is>
          <t>Not contacted</t>
        </is>
      </c>
      <c r="V52" s="37" t="n"/>
      <c r="W52" s="37" t="n"/>
      <c r="X52">
        <f>IF($W52="","",IF(DATE(YEAR(TODAY()),MONTH($W52),DAY($W52))&gt;=TODAY(),DATE(YEAR(TODAY()),MONTH($W52),DAY($W52))-TODAY(),DATE(YEAR(TODAY())+1,MONTH($W52),DAY($W52))-TODAY()))</f>
        <v/>
      </c>
      <c r="Y52">
        <f>IF($X52="","",IF($X52&lt;=30,"YES",""))</f>
        <v/>
      </c>
      <c r="Z52" s="34">
        <f>IF($F52="Yes","Champion",IF($AB52&gt;=2,"Advocate",IF($AB52&gt;=1,"Referrer",IF($M52&gt;=4,"High Potential",IF($M52&gt;=3,"Standard","New"))))))</f>
        <v/>
      </c>
      <c r="AA52" s="34" t="inlineStr">
        <is>
          <t>No</t>
        </is>
      </c>
      <c r="AB52" s="34" t="n">
        <v>0</v>
      </c>
      <c r="AC52" s="34" t="n"/>
      <c r="AD52" s="37" t="n"/>
      <c r="AE52" s="35" t="n"/>
      <c r="AF52" s="34" t="n"/>
      <c r="AG52" s="34" t="n"/>
      <c r="AH52" s="34" t="n"/>
    </row>
    <row r="53">
      <c r="A53" s="30" t="n">
        <v>51</v>
      </c>
      <c r="B53" s="30" t="inlineStr">
        <is>
          <t>Nurture</t>
        </is>
      </c>
      <c r="C53" s="30" t="n">
        <v>5</v>
      </c>
      <c r="D53" s="31" t="n"/>
      <c r="E53" s="30" t="inlineStr">
        <is>
          <t>NEW</t>
        </is>
      </c>
      <c r="F53" s="30" t="n"/>
      <c r="G53" s="30" t="inlineStr">
        <is>
          <t>Tam Tsz Mong</t>
        </is>
      </c>
      <c r="H53" s="30" t="inlineStr">
        <is>
          <t>Oscar</t>
        </is>
      </c>
      <c r="I53" s="32" t="inlineStr">
        <is>
          <t>52679918</t>
        </is>
      </c>
      <c r="J53" s="30" t="inlineStr">
        <is>
          <t>Male</t>
        </is>
      </c>
      <c r="K53" s="30" t="n">
        <v>23</v>
      </c>
      <c r="L53" s="30" t="inlineStr">
        <is>
          <t>Friend</t>
        </is>
      </c>
      <c r="M53" s="30" t="n">
        <v>3</v>
      </c>
      <c r="N53" s="30" t="n">
        <v>1</v>
      </c>
      <c r="O53" s="30" t="inlineStr">
        <is>
          <t>Programer</t>
        </is>
      </c>
      <c r="P53" s="30" t="inlineStr">
        <is>
          <t>Unknown</t>
        </is>
      </c>
      <c r="Q53" s="30" t="inlineStr">
        <is>
          <t>$20000</t>
        </is>
      </c>
      <c r="R53" s="31" t="n"/>
      <c r="S53" s="31" t="n"/>
      <c r="T53" s="30" t="n"/>
      <c r="U53" s="30" t="inlineStr">
        <is>
          <t>Not contacted</t>
        </is>
      </c>
      <c r="V53" s="33" t="n"/>
      <c r="W53" s="33" t="n"/>
      <c r="X53">
        <f>IF($W53="","",IF(DATE(YEAR(TODAY()),MONTH($W53),DAY($W53))&gt;=TODAY(),DATE(YEAR(TODAY()),MONTH($W53),DAY($W53))-TODAY(),DATE(YEAR(TODAY())+1,MONTH($W53),DAY($W53))-TODAY()))</f>
        <v/>
      </c>
      <c r="Y53">
        <f>IF($X53="","",IF($X53&lt;=30,"YES",""))</f>
        <v/>
      </c>
      <c r="Z53" s="30">
        <f>IF($F53="Yes","Champion",IF($AB53&gt;=2,"Advocate",IF($AB53&gt;=1,"Referrer",IF($M53&gt;=4,"High Potential",IF($M53&gt;=3,"Standard","New"))))))</f>
        <v/>
      </c>
      <c r="AA53" s="30" t="inlineStr">
        <is>
          <t>No</t>
        </is>
      </c>
      <c r="AB53" s="30" t="n">
        <v>0</v>
      </c>
      <c r="AC53" s="30" t="n"/>
      <c r="AD53" s="33" t="n"/>
      <c r="AE53" s="31" t="n"/>
      <c r="AF53" s="30" t="n"/>
      <c r="AG53" s="30" t="n"/>
      <c r="AH53" s="30" t="n"/>
    </row>
    <row r="54">
      <c r="A54" s="34" t="n">
        <v>52</v>
      </c>
      <c r="B54" s="34" t="inlineStr">
        <is>
          <t>Nurture</t>
        </is>
      </c>
      <c r="C54" s="34" t="n">
        <v>5</v>
      </c>
      <c r="D54" s="35" t="n"/>
      <c r="E54" s="34" t="inlineStr">
        <is>
          <t>NEW</t>
        </is>
      </c>
      <c r="F54" s="34" t="n"/>
      <c r="G54" s="34" t="inlineStr">
        <is>
          <t>Tommy Hin</t>
        </is>
      </c>
      <c r="H54" s="34" t="inlineStr">
        <is>
          <t>Tommy</t>
        </is>
      </c>
      <c r="I54" s="36" t="inlineStr">
        <is>
          <t>54018839</t>
        </is>
      </c>
      <c r="J54" s="34" t="inlineStr">
        <is>
          <t>Male</t>
        </is>
      </c>
      <c r="K54" s="34" t="n">
        <v>31</v>
      </c>
      <c r="L54" s="34" t="inlineStr">
        <is>
          <t>Ex colleague</t>
        </is>
      </c>
      <c r="M54" s="34" t="n">
        <v>2</v>
      </c>
      <c r="N54" s="34" t="n">
        <v>2</v>
      </c>
      <c r="O54" s="34" t="inlineStr">
        <is>
          <t>Customer service officer</t>
        </is>
      </c>
      <c r="P54" s="34" t="inlineStr">
        <is>
          <t>Tai Kok Tsui</t>
        </is>
      </c>
      <c r="Q54" s="34" t="inlineStr">
        <is>
          <t>$30000</t>
        </is>
      </c>
      <c r="R54" s="35" t="n"/>
      <c r="S54" s="35" t="n"/>
      <c r="T54" s="34" t="n"/>
      <c r="U54" s="34" t="inlineStr">
        <is>
          <t>Not contacted</t>
        </is>
      </c>
      <c r="V54" s="37" t="n"/>
      <c r="W54" s="37" t="n"/>
      <c r="X54">
        <f>IF($W54="","",IF(DATE(YEAR(TODAY()),MONTH($W54),DAY($W54))&gt;=TODAY(),DATE(YEAR(TODAY()),MONTH($W54),DAY($W54))-TODAY(),DATE(YEAR(TODAY())+1,MONTH($W54),DAY($W54))-TODAY()))</f>
        <v/>
      </c>
      <c r="Y54">
        <f>IF($X54="","",IF($X54&lt;=30,"YES",""))</f>
        <v/>
      </c>
      <c r="Z54" s="34">
        <f>IF($F54="Yes","Champion",IF($AB54&gt;=2,"Advocate",IF($AB54&gt;=1,"Referrer",IF($M54&gt;=4,"High Potential",IF($M54&gt;=3,"Standard","New"))))))</f>
        <v/>
      </c>
      <c r="AA54" s="34" t="inlineStr">
        <is>
          <t>No</t>
        </is>
      </c>
      <c r="AB54" s="34" t="n">
        <v>0</v>
      </c>
      <c r="AC54" s="34" t="n"/>
      <c r="AD54" s="37" t="n"/>
      <c r="AE54" s="35" t="n"/>
      <c r="AF54" s="34" t="n"/>
      <c r="AG54" s="34" t="n"/>
      <c r="AH54" s="34" t="n"/>
    </row>
    <row r="55">
      <c r="A55" s="30" t="n">
        <v>53</v>
      </c>
      <c r="B55" s="30" t="inlineStr">
        <is>
          <t>Nurture</t>
        </is>
      </c>
      <c r="C55" s="30" t="n">
        <v>5</v>
      </c>
      <c r="D55" s="31" t="n"/>
      <c r="E55" s="30" t="inlineStr">
        <is>
          <t>NEW</t>
        </is>
      </c>
      <c r="F55" s="30" t="n"/>
      <c r="G55" s="30" t="inlineStr">
        <is>
          <t>Venus Wong</t>
        </is>
      </c>
      <c r="H55" s="30" t="inlineStr">
        <is>
          <t>Venus</t>
        </is>
      </c>
      <c r="I55" s="32" t="inlineStr">
        <is>
          <t>92519799</t>
        </is>
      </c>
      <c r="J55" s="30" t="inlineStr">
        <is>
          <t>Female</t>
        </is>
      </c>
      <c r="K55" s="30" t="n">
        <v>24</v>
      </c>
      <c r="L55" s="30" t="inlineStr">
        <is>
          <t>Ex colleague</t>
        </is>
      </c>
      <c r="M55" s="30" t="n">
        <v>2</v>
      </c>
      <c r="N55" s="30" t="n">
        <v>2</v>
      </c>
      <c r="O55" s="30" t="inlineStr">
        <is>
          <t>Insurance call centre</t>
        </is>
      </c>
      <c r="P55" s="30" t="inlineStr">
        <is>
          <t>Tai Kok Tsui</t>
        </is>
      </c>
      <c r="Q55" s="30" t="inlineStr">
        <is>
          <t>$19000</t>
        </is>
      </c>
      <c r="R55" s="31" t="n"/>
      <c r="S55" s="31" t="n"/>
      <c r="T55" s="30" t="n"/>
      <c r="U55" s="30" t="inlineStr">
        <is>
          <t>Not contacted</t>
        </is>
      </c>
      <c r="V55" s="33" t="n"/>
      <c r="W55" s="33" t="n"/>
      <c r="X55">
        <f>IF($W55="","",IF(DATE(YEAR(TODAY()),MONTH($W55),DAY($W55))&gt;=TODAY(),DATE(YEAR(TODAY()),MONTH($W55),DAY($W55))-TODAY(),DATE(YEAR(TODAY())+1,MONTH($W55),DAY($W55))-TODAY()))</f>
        <v/>
      </c>
      <c r="Y55">
        <f>IF($X55="","",IF($X55&lt;=30,"YES",""))</f>
        <v/>
      </c>
      <c r="Z55" s="30">
        <f>IF($F55="Yes","Champion",IF($AB55&gt;=2,"Advocate",IF($AB55&gt;=1,"Referrer",IF($M55&gt;=4,"High Potential",IF($M55&gt;=3,"Standard","New"))))))</f>
        <v/>
      </c>
      <c r="AA55" s="30" t="inlineStr">
        <is>
          <t>No</t>
        </is>
      </c>
      <c r="AB55" s="30" t="n">
        <v>0</v>
      </c>
      <c r="AC55" s="30" t="n"/>
      <c r="AD55" s="33" t="n"/>
      <c r="AE55" s="31" t="n"/>
      <c r="AF55" s="30" t="n"/>
      <c r="AG55" s="30" t="n"/>
      <c r="AH55" s="30" t="n"/>
    </row>
    <row r="56">
      <c r="A56" s="34" t="n">
        <v>54</v>
      </c>
      <c r="B56" s="34" t="inlineStr">
        <is>
          <t>Nurture</t>
        </is>
      </c>
      <c r="C56" s="34" t="n">
        <v>5</v>
      </c>
      <c r="D56" s="35" t="n"/>
      <c r="E56" s="34" t="inlineStr">
        <is>
          <t>NEW</t>
        </is>
      </c>
      <c r="F56" s="34" t="n"/>
      <c r="G56" s="34" t="inlineStr">
        <is>
          <t>Zoey Kwok</t>
        </is>
      </c>
      <c r="H56" s="34" t="inlineStr">
        <is>
          <t>Zoey</t>
        </is>
      </c>
      <c r="I56" s="36" t="inlineStr">
        <is>
          <t>57022075</t>
        </is>
      </c>
      <c r="J56" s="34" t="inlineStr">
        <is>
          <t>Female</t>
        </is>
      </c>
      <c r="K56" s="34" t="n">
        <v>26</v>
      </c>
      <c r="L56" s="34" t="inlineStr">
        <is>
          <t>Ex colleague</t>
        </is>
      </c>
      <c r="M56" s="34" t="n">
        <v>2</v>
      </c>
      <c r="N56" s="34" t="n">
        <v>2</v>
      </c>
      <c r="O56" s="34" t="inlineStr">
        <is>
          <t>Customer service officer</t>
        </is>
      </c>
      <c r="P56" s="34" t="inlineStr">
        <is>
          <t>Tai Kok Tsui</t>
        </is>
      </c>
      <c r="Q56" s="34" t="inlineStr">
        <is>
          <t>$26000</t>
        </is>
      </c>
      <c r="R56" s="35" t="n"/>
      <c r="S56" s="35" t="inlineStr">
        <is>
          <t>gathering on 3/17</t>
        </is>
      </c>
      <c r="T56" s="34" t="n"/>
      <c r="U56" s="34" t="inlineStr">
        <is>
          <t>Not contacted</t>
        </is>
      </c>
      <c r="V56" s="37" t="n"/>
      <c r="W56" s="37" t="n"/>
      <c r="X56">
        <f>IF($W56="","",IF(DATE(YEAR(TODAY()),MONTH($W56),DAY($W56))&gt;=TODAY(),DATE(YEAR(TODAY()),MONTH($W56),DAY($W56))-TODAY(),DATE(YEAR(TODAY())+1,MONTH($W56),DAY($W56))-TODAY()))</f>
        <v/>
      </c>
      <c r="Y56">
        <f>IF($X56="","",IF($X56&lt;=30,"YES",""))</f>
        <v/>
      </c>
      <c r="Z56" s="34">
        <f>IF($F56="Yes","Champion",IF($AB56&gt;=2,"Advocate",IF($AB56&gt;=1,"Referrer",IF($M56&gt;=4,"High Potential",IF($M56&gt;=3,"Standard","New"))))))</f>
        <v/>
      </c>
      <c r="AA56" s="34" t="inlineStr">
        <is>
          <t>No</t>
        </is>
      </c>
      <c r="AB56" s="34" t="n">
        <v>0</v>
      </c>
      <c r="AC56" s="34" t="n"/>
      <c r="AD56" s="37" t="n"/>
      <c r="AE56" s="35" t="n"/>
      <c r="AF56" s="34" t="n"/>
      <c r="AG56" s="34" t="n"/>
      <c r="AH56" s="34" t="n"/>
    </row>
    <row r="57">
      <c r="A57" s="30" t="n">
        <v>55</v>
      </c>
      <c r="B57" s="30" t="inlineStr">
        <is>
          <t>Nurture</t>
        </is>
      </c>
      <c r="C57" s="30" t="n">
        <v>5</v>
      </c>
      <c r="D57" s="31" t="n"/>
      <c r="E57" s="30" t="inlineStr">
        <is>
          <t>NEW</t>
        </is>
      </c>
      <c r="F57" s="30" t="n"/>
      <c r="G57" s="30" t="inlineStr">
        <is>
          <t>娟姑姐</t>
        </is>
      </c>
      <c r="H57" s="30" t="inlineStr">
        <is>
          <t>unknown</t>
        </is>
      </c>
      <c r="I57" s="32" t="inlineStr">
        <is>
          <t>91551006</t>
        </is>
      </c>
      <c r="J57" s="30" t="inlineStr">
        <is>
          <t>Female</t>
        </is>
      </c>
      <c r="K57" s="30" t="n">
        <v>42</v>
      </c>
      <c r="L57" s="30" t="inlineStr">
        <is>
          <t>relative</t>
        </is>
      </c>
      <c r="M57" s="30" t="n">
        <v>2</v>
      </c>
      <c r="N57" s="30" t="n">
        <v>2</v>
      </c>
      <c r="O57" s="30" t="inlineStr">
        <is>
          <t>estate agent</t>
        </is>
      </c>
      <c r="P57" s="30" t="inlineStr">
        <is>
          <t>unknown</t>
        </is>
      </c>
      <c r="Q57" s="30" t="inlineStr">
        <is>
          <t>unknown</t>
        </is>
      </c>
      <c r="R57" s="31" t="n"/>
      <c r="S57" s="31" t="n"/>
      <c r="T57" s="30" t="n"/>
      <c r="U57" s="30" t="inlineStr">
        <is>
          <t>Not contacted</t>
        </is>
      </c>
      <c r="V57" s="33" t="n"/>
      <c r="W57" s="33" t="n"/>
      <c r="X57">
        <f>IF($W57="","",IF(DATE(YEAR(TODAY()),MONTH($W57),DAY($W57))&gt;=TODAY(),DATE(YEAR(TODAY()),MONTH($W57),DAY($W57))-TODAY(),DATE(YEAR(TODAY())+1,MONTH($W57),DAY($W57))-TODAY()))</f>
        <v/>
      </c>
      <c r="Y57">
        <f>IF($X57="","",IF($X57&lt;=30,"YES",""))</f>
        <v/>
      </c>
      <c r="Z57" s="30">
        <f>IF($F57="Yes","Champion",IF($AB57&gt;=2,"Advocate",IF($AB57&gt;=1,"Referrer",IF($M57&gt;=4,"High Potential",IF($M57&gt;=3,"Standard","New"))))))</f>
        <v/>
      </c>
      <c r="AA57" s="30" t="inlineStr">
        <is>
          <t>No</t>
        </is>
      </c>
      <c r="AB57" s="30" t="n">
        <v>0</v>
      </c>
      <c r="AC57" s="30" t="n"/>
      <c r="AD57" s="33" t="n"/>
      <c r="AE57" s="31" t="n"/>
      <c r="AF57" s="30" t="n"/>
      <c r="AG57" s="30" t="n"/>
      <c r="AH57" s="30" t="n"/>
    </row>
    <row r="58">
      <c r="A58" s="34" t="n">
        <v>56</v>
      </c>
      <c r="B58" s="34" t="inlineStr">
        <is>
          <t>Nurture</t>
        </is>
      </c>
      <c r="C58" s="34" t="n">
        <v>5</v>
      </c>
      <c r="D58" s="35" t="n"/>
      <c r="E58" s="34" t="inlineStr">
        <is>
          <t>NEW</t>
        </is>
      </c>
      <c r="F58" s="34" t="n"/>
      <c r="G58" s="34" t="inlineStr">
        <is>
          <t>霞姑姐</t>
        </is>
      </c>
      <c r="H58" s="34" t="inlineStr">
        <is>
          <t>unknown</t>
        </is>
      </c>
      <c r="I58" s="36" t="inlineStr">
        <is>
          <t>6021366</t>
        </is>
      </c>
      <c r="J58" s="34" t="inlineStr">
        <is>
          <t>Female</t>
        </is>
      </c>
      <c r="K58" s="34" t="n">
        <v>65</v>
      </c>
      <c r="L58" s="34" t="inlineStr">
        <is>
          <t>relative</t>
        </is>
      </c>
      <c r="M58" s="34" t="n">
        <v>2</v>
      </c>
      <c r="N58" s="34" t="n">
        <v>2</v>
      </c>
      <c r="O58" s="34" t="inlineStr">
        <is>
          <t>retire</t>
        </is>
      </c>
      <c r="P58" s="34" t="inlineStr">
        <is>
          <t>unknown</t>
        </is>
      </c>
      <c r="Q58" s="34" t="inlineStr">
        <is>
          <t>unknown</t>
        </is>
      </c>
      <c r="R58" s="35" t="n"/>
      <c r="S58" s="35" t="n"/>
      <c r="T58" s="34" t="n"/>
      <c r="U58" s="34" t="inlineStr">
        <is>
          <t>Not contacted</t>
        </is>
      </c>
      <c r="V58" s="37" t="n"/>
      <c r="W58" s="37" t="n"/>
      <c r="X58">
        <f>IF($W58="","",IF(DATE(YEAR(TODAY()),MONTH($W58),DAY($W58))&gt;=TODAY(),DATE(YEAR(TODAY()),MONTH($W58),DAY($W58))-TODAY(),DATE(YEAR(TODAY())+1,MONTH($W58),DAY($W58))-TODAY()))</f>
        <v/>
      </c>
      <c r="Y58">
        <f>IF($X58="","",IF($X58&lt;=30,"YES",""))</f>
        <v/>
      </c>
      <c r="Z58" s="34">
        <f>IF($F58="Yes","Champion",IF($AB58&gt;=2,"Advocate",IF($AB58&gt;=1,"Referrer",IF($M58&gt;=4,"High Potential",IF($M58&gt;=3,"Standard","New"))))))</f>
        <v/>
      </c>
      <c r="AA58" s="34" t="inlineStr">
        <is>
          <t>No</t>
        </is>
      </c>
      <c r="AB58" s="34" t="n">
        <v>0</v>
      </c>
      <c r="AC58" s="34" t="n"/>
      <c r="AD58" s="37" t="n"/>
      <c r="AE58" s="35" t="n"/>
      <c r="AF58" s="34" t="n"/>
      <c r="AG58" s="34" t="n"/>
      <c r="AH58" s="34" t="n"/>
    </row>
    <row r="59">
      <c r="A59" s="30" t="n">
        <v>57</v>
      </c>
      <c r="B59" s="30" t="inlineStr">
        <is>
          <t>Nurture</t>
        </is>
      </c>
      <c r="C59" s="30" t="n">
        <v>4</v>
      </c>
      <c r="D59" s="31" t="inlineStr">
        <is>
          <t>follow up medical and stock (</t>
        </is>
      </c>
      <c r="E59" s="30" t="inlineStr">
        <is>
          <t>NEW</t>
        </is>
      </c>
      <c r="F59" s="30" t="n"/>
      <c r="G59" s="30" t="inlineStr">
        <is>
          <t>Leo Cheung</t>
        </is>
      </c>
      <c r="H59" s="30" t="inlineStr">
        <is>
          <t>Leo</t>
        </is>
      </c>
      <c r="I59" s="32" t="n"/>
      <c r="J59" s="30" t="inlineStr">
        <is>
          <t>Male</t>
        </is>
      </c>
      <c r="K59" s="30" t="n">
        <v>24</v>
      </c>
      <c r="L59" s="30" t="inlineStr">
        <is>
          <t>Frriend</t>
        </is>
      </c>
      <c r="M59" s="30" t="n">
        <v>1</v>
      </c>
      <c r="N59" s="30" t="n">
        <v>1</v>
      </c>
      <c r="O59" s="30" t="inlineStr">
        <is>
          <t>Student</t>
        </is>
      </c>
      <c r="P59" s="30" t="inlineStr">
        <is>
          <t>Unknown</t>
        </is>
      </c>
      <c r="Q59" s="30" t="inlineStr">
        <is>
          <t>Unknown</t>
        </is>
      </c>
      <c r="R59" s="31" t="inlineStr">
        <is>
          <t>Medical</t>
        </is>
      </c>
      <c r="S59" s="31" t="n"/>
      <c r="T59" s="30" t="n"/>
      <c r="U59" s="30" t="inlineStr">
        <is>
          <t>Not contacted</t>
        </is>
      </c>
      <c r="V59" s="33" t="n"/>
      <c r="W59" s="33" t="n"/>
      <c r="X59">
        <f>IF($W59="","",IF(DATE(YEAR(TODAY()),MONTH($W59),DAY($W59))&gt;=TODAY(),DATE(YEAR(TODAY()),MONTH($W59),DAY($W59))-TODAY(),DATE(YEAR(TODAY())+1,MONTH($W59),DAY($W59))-TODAY()))</f>
        <v/>
      </c>
      <c r="Y59">
        <f>IF($X59="","",IF($X59&lt;=30,"YES",""))</f>
        <v/>
      </c>
      <c r="Z59" s="30">
        <f>IF($F59="Yes","Champion",IF($AB59&gt;=2,"Advocate",IF($AB59&gt;=1,"Referrer",IF($M59&gt;=4,"High Potential",IF($M59&gt;=3,"Standard","New"))))))</f>
        <v/>
      </c>
      <c r="AA59" s="30" t="inlineStr">
        <is>
          <t>No</t>
        </is>
      </c>
      <c r="AB59" s="30" t="n">
        <v>0</v>
      </c>
      <c r="AC59" s="30" t="n"/>
      <c r="AD59" s="33" t="n"/>
      <c r="AE59" s="31" t="n"/>
      <c r="AF59" s="30" t="n"/>
      <c r="AG59" s="30" t="n"/>
      <c r="AH59" s="30" t="n"/>
    </row>
    <row r="60">
      <c r="A60" s="34" t="n">
        <v>58</v>
      </c>
      <c r="B60" s="34" t="inlineStr">
        <is>
          <t>Nurture</t>
        </is>
      </c>
      <c r="C60" s="34" t="n">
        <v>4</v>
      </c>
      <c r="D60" s="35" t="n"/>
      <c r="E60" s="34" t="inlineStr">
        <is>
          <t>NEW</t>
        </is>
      </c>
      <c r="F60" s="34" t="n"/>
      <c r="G60" s="34" t="inlineStr">
        <is>
          <t>Andy Cheung</t>
        </is>
      </c>
      <c r="H60" s="34" t="inlineStr">
        <is>
          <t>Andy</t>
        </is>
      </c>
      <c r="I60" s="36" t="inlineStr">
        <is>
          <t>68882496</t>
        </is>
      </c>
      <c r="J60" s="34" t="inlineStr">
        <is>
          <t>Male</t>
        </is>
      </c>
      <c r="K60" s="34" t="n">
        <v>26</v>
      </c>
      <c r="L60" s="34" t="inlineStr">
        <is>
          <t>Ex colleague</t>
        </is>
      </c>
      <c r="M60" s="34" t="n">
        <v>2</v>
      </c>
      <c r="N60" s="34" t="n">
        <v>1</v>
      </c>
      <c r="O60" s="34" t="inlineStr">
        <is>
          <t>Customer care office</t>
        </is>
      </c>
      <c r="P60" s="34" t="inlineStr">
        <is>
          <t>Tai Kok Tsui</t>
        </is>
      </c>
      <c r="Q60" s="34" t="inlineStr">
        <is>
          <t>$20250</t>
        </is>
      </c>
      <c r="R60" s="35" t="n"/>
      <c r="S60" s="35" t="n"/>
      <c r="T60" s="34" t="n"/>
      <c r="U60" s="34" t="inlineStr">
        <is>
          <t>Not contacted</t>
        </is>
      </c>
      <c r="V60" s="37" t="n"/>
      <c r="W60" s="37" t="n"/>
      <c r="X60">
        <f>IF($W60="","",IF(DATE(YEAR(TODAY()),MONTH($W60),DAY($W60))&gt;=TODAY(),DATE(YEAR(TODAY()),MONTH($W60),DAY($W60))-TODAY(),DATE(YEAR(TODAY())+1,MONTH($W60),DAY($W60))-TODAY()))</f>
        <v/>
      </c>
      <c r="Y60">
        <f>IF($X60="","",IF($X60&lt;=30,"YES",""))</f>
        <v/>
      </c>
      <c r="Z60" s="34">
        <f>IF($F60="Yes","Champion",IF($AB60&gt;=2,"Advocate",IF($AB60&gt;=1,"Referrer",IF($M60&gt;=4,"High Potential",IF($M60&gt;=3,"Standard","New"))))))</f>
        <v/>
      </c>
      <c r="AA60" s="34" t="inlineStr">
        <is>
          <t>No</t>
        </is>
      </c>
      <c r="AB60" s="34" t="n">
        <v>0</v>
      </c>
      <c r="AC60" s="34" t="n"/>
      <c r="AD60" s="37" t="n"/>
      <c r="AE60" s="35" t="n"/>
      <c r="AF60" s="34" t="n"/>
      <c r="AG60" s="34" t="n"/>
      <c r="AH60" s="34" t="n"/>
    </row>
    <row r="61">
      <c r="A61" s="30" t="n">
        <v>59</v>
      </c>
      <c r="B61" s="30" t="inlineStr">
        <is>
          <t>Client</t>
        </is>
      </c>
      <c r="C61" s="30" t="n">
        <v>4</v>
      </c>
      <c r="D61" s="31" t="n"/>
      <c r="E61" s="30" t="inlineStr">
        <is>
          <t>NEW</t>
        </is>
      </c>
      <c r="F61" s="30" t="inlineStr">
        <is>
          <t>Yes</t>
        </is>
      </c>
      <c r="G61" s="30" t="inlineStr">
        <is>
          <t>Cheung tsz Hei</t>
        </is>
      </c>
      <c r="H61" s="30" t="inlineStr">
        <is>
          <t>Rache</t>
        </is>
      </c>
      <c r="I61" s="32" t="n"/>
      <c r="J61" s="30" t="inlineStr">
        <is>
          <t>Female</t>
        </is>
      </c>
      <c r="K61" s="30" t="n">
        <v>24</v>
      </c>
      <c r="L61" s="30" t="inlineStr">
        <is>
          <t>Friend</t>
        </is>
      </c>
      <c r="M61" s="30" t="n">
        <v>1</v>
      </c>
      <c r="N61" s="30" t="n">
        <v>1</v>
      </c>
      <c r="O61" s="30" t="inlineStr">
        <is>
          <t>Unknown</t>
        </is>
      </c>
      <c r="P61" s="30" t="inlineStr">
        <is>
          <t>Unknown</t>
        </is>
      </c>
      <c r="Q61" s="30" t="inlineStr">
        <is>
          <t>Unknown</t>
        </is>
      </c>
      <c r="R61" s="31" t="n"/>
      <c r="S61" s="31" t="n"/>
      <c r="T61" s="30" t="n"/>
      <c r="U61" s="30" t="inlineStr">
        <is>
          <t>Active client</t>
        </is>
      </c>
      <c r="V61" s="33" t="n"/>
      <c r="W61" s="33" t="n"/>
      <c r="X61">
        <f>IF($W61="","",IF(DATE(YEAR(TODAY()),MONTH($W61),DAY($W61))&gt;=TODAY(),DATE(YEAR(TODAY()),MONTH($W61),DAY($W61))-TODAY(),DATE(YEAR(TODAY())+1,MONTH($W61),DAY($W61))-TODAY()))</f>
        <v/>
      </c>
      <c r="Y61">
        <f>IF($X61="","",IF($X61&lt;=30,"YES",""))</f>
        <v/>
      </c>
      <c r="Z61" s="30">
        <f>IF($F61="Yes","Champion",IF($AB61&gt;=2,"Advocate",IF($AB61&gt;=1,"Referrer",IF($M61&gt;=4,"High Potential",IF($M61&gt;=3,"Standard","New"))))))</f>
        <v/>
      </c>
      <c r="AA61" s="30" t="inlineStr">
        <is>
          <t>No</t>
        </is>
      </c>
      <c r="AB61" s="30" t="n">
        <v>0</v>
      </c>
      <c r="AC61" s="30" t="n"/>
      <c r="AD61" s="33" t="n"/>
      <c r="AE61" s="31" t="n"/>
      <c r="AF61" s="30" t="n"/>
      <c r="AG61" s="30" t="n"/>
      <c r="AH61" s="30" t="n"/>
    </row>
    <row r="62">
      <c r="A62" s="34" t="n">
        <v>60</v>
      </c>
      <c r="B62" s="34" t="inlineStr">
        <is>
          <t>Nurture</t>
        </is>
      </c>
      <c r="C62" s="34" t="n">
        <v>4</v>
      </c>
      <c r="D62" s="35" t="n"/>
      <c r="E62" s="34" t="inlineStr">
        <is>
          <t>NEW</t>
        </is>
      </c>
      <c r="F62" s="34" t="n"/>
      <c r="G62" s="34" t="inlineStr">
        <is>
          <t>Chloe Wong</t>
        </is>
      </c>
      <c r="H62" s="34" t="inlineStr">
        <is>
          <t>Chloe</t>
        </is>
      </c>
      <c r="I62" s="36" t="inlineStr">
        <is>
          <t>92515885</t>
        </is>
      </c>
      <c r="J62" s="34" t="inlineStr">
        <is>
          <t>Female</t>
        </is>
      </c>
      <c r="K62" s="34" t="n">
        <v>23</v>
      </c>
      <c r="L62" s="34" t="inlineStr">
        <is>
          <t>Friend</t>
        </is>
      </c>
      <c r="M62" s="34" t="n">
        <v>2</v>
      </c>
      <c r="N62" s="34" t="n">
        <v>1</v>
      </c>
      <c r="O62" s="34" t="inlineStr">
        <is>
          <t>Unemployed</t>
        </is>
      </c>
      <c r="P62" s="34" t="inlineStr">
        <is>
          <t>Unknown</t>
        </is>
      </c>
      <c r="Q62" s="34" t="inlineStr">
        <is>
          <t>Unknown</t>
        </is>
      </c>
      <c r="R62" s="35" t="n"/>
      <c r="S62" s="35" t="n"/>
      <c r="T62" s="34" t="n"/>
      <c r="U62" s="34" t="inlineStr">
        <is>
          <t>Not contacted</t>
        </is>
      </c>
      <c r="V62" s="37" t="n"/>
      <c r="W62" s="37" t="n"/>
      <c r="X62">
        <f>IF($W62="","",IF(DATE(YEAR(TODAY()),MONTH($W62),DAY($W62))&gt;=TODAY(),DATE(YEAR(TODAY()),MONTH($W62),DAY($W62))-TODAY(),DATE(YEAR(TODAY())+1,MONTH($W62),DAY($W62))-TODAY()))</f>
        <v/>
      </c>
      <c r="Y62">
        <f>IF($X62="","",IF($X62&lt;=30,"YES",""))</f>
        <v/>
      </c>
      <c r="Z62" s="34">
        <f>IF($F62="Yes","Champion",IF($AB62&gt;=2,"Advocate",IF($AB62&gt;=1,"Referrer",IF($M62&gt;=4,"High Potential",IF($M62&gt;=3,"Standard","New"))))))</f>
        <v/>
      </c>
      <c r="AA62" s="34" t="inlineStr">
        <is>
          <t>No</t>
        </is>
      </c>
      <c r="AB62" s="34" t="n">
        <v>0</v>
      </c>
      <c r="AC62" s="34" t="n"/>
      <c r="AD62" s="37" t="n"/>
      <c r="AE62" s="35" t="n"/>
      <c r="AF62" s="34" t="n"/>
      <c r="AG62" s="34" t="n"/>
      <c r="AH62" s="34" t="n"/>
    </row>
    <row r="63">
      <c r="A63" s="30" t="n">
        <v>61</v>
      </c>
      <c r="B63" s="30" t="inlineStr">
        <is>
          <t>Nurture</t>
        </is>
      </c>
      <c r="C63" s="30" t="n">
        <v>4</v>
      </c>
      <c r="D63" s="31" t="n"/>
      <c r="E63" s="30" t="inlineStr">
        <is>
          <t>NEW</t>
        </is>
      </c>
      <c r="F63" s="30" t="n"/>
      <c r="G63" s="30" t="inlineStr">
        <is>
          <t>Chui Chun Ho</t>
        </is>
      </c>
      <c r="H63" s="30" t="inlineStr">
        <is>
          <t>Thomas</t>
        </is>
      </c>
      <c r="I63" s="32" t="inlineStr">
        <is>
          <t>63542779</t>
        </is>
      </c>
      <c r="J63" s="30" t="inlineStr">
        <is>
          <t>Male</t>
        </is>
      </c>
      <c r="K63" s="30" t="n">
        <v>23</v>
      </c>
      <c r="L63" s="30" t="inlineStr">
        <is>
          <t>Friend</t>
        </is>
      </c>
      <c r="M63" s="30" t="n">
        <v>3</v>
      </c>
      <c r="N63" s="30" t="n"/>
      <c r="O63" s="30" t="inlineStr">
        <is>
          <t>Unknown</t>
        </is>
      </c>
      <c r="P63" s="30" t="inlineStr">
        <is>
          <t>Unknown</t>
        </is>
      </c>
      <c r="Q63" s="30" t="inlineStr">
        <is>
          <t>$Unknown</t>
        </is>
      </c>
      <c r="R63" s="31" t="n"/>
      <c r="S63" s="31" t="n"/>
      <c r="T63" s="30" t="n"/>
      <c r="U63" s="30" t="inlineStr">
        <is>
          <t>Not contacted</t>
        </is>
      </c>
      <c r="V63" s="33" t="n"/>
      <c r="W63" s="33" t="n"/>
      <c r="X63">
        <f>IF($W63="","",IF(DATE(YEAR(TODAY()),MONTH($W63),DAY($W63))&gt;=TODAY(),DATE(YEAR(TODAY()),MONTH($W63),DAY($W63))-TODAY(),DATE(YEAR(TODAY())+1,MONTH($W63),DAY($W63))-TODAY()))</f>
        <v/>
      </c>
      <c r="Y63">
        <f>IF($X63="","",IF($X63&lt;=30,"YES",""))</f>
        <v/>
      </c>
      <c r="Z63" s="30">
        <f>IF($F63="Yes","Champion",IF($AB63&gt;=2,"Advocate",IF($AB63&gt;=1,"Referrer",IF($M63&gt;=4,"High Potential",IF($M63&gt;=3,"Standard","New"))))))</f>
        <v/>
      </c>
      <c r="AA63" s="30" t="inlineStr">
        <is>
          <t>No</t>
        </is>
      </c>
      <c r="AB63" s="30" t="n">
        <v>0</v>
      </c>
      <c r="AC63" s="30" t="n"/>
      <c r="AD63" s="33" t="n"/>
      <c r="AE63" s="31" t="n"/>
      <c r="AF63" s="30" t="n"/>
      <c r="AG63" s="30" t="n"/>
      <c r="AH63" s="30" t="n"/>
    </row>
    <row r="64">
      <c r="A64" s="34" t="n">
        <v>62</v>
      </c>
      <c r="B64" s="34" t="inlineStr">
        <is>
          <t>Nurture</t>
        </is>
      </c>
      <c r="C64" s="34" t="n">
        <v>4</v>
      </c>
      <c r="D64" s="35" t="n"/>
      <c r="E64" s="34" t="inlineStr">
        <is>
          <t>NEW</t>
        </is>
      </c>
      <c r="F64" s="34" t="n"/>
      <c r="G64" s="34" t="inlineStr">
        <is>
          <t>Ken Lo</t>
        </is>
      </c>
      <c r="H64" s="34" t="inlineStr">
        <is>
          <t>Ken</t>
        </is>
      </c>
      <c r="I64" s="36" t="inlineStr">
        <is>
          <t>51612872</t>
        </is>
      </c>
      <c r="J64" s="34" t="inlineStr">
        <is>
          <t>Male</t>
        </is>
      </c>
      <c r="K64" s="34" t="n">
        <v>23</v>
      </c>
      <c r="L64" s="34" t="inlineStr">
        <is>
          <t>Friend</t>
        </is>
      </c>
      <c r="M64" s="34" t="n">
        <v>2</v>
      </c>
      <c r="N64" s="34" t="n">
        <v>1</v>
      </c>
      <c r="O64" s="34" t="inlineStr">
        <is>
          <t>unknown</t>
        </is>
      </c>
      <c r="P64" s="34" t="inlineStr">
        <is>
          <t>unknown</t>
        </is>
      </c>
      <c r="Q64" s="34" t="inlineStr">
        <is>
          <t>unknown</t>
        </is>
      </c>
      <c r="R64" s="35" t="n"/>
      <c r="S64" s="35" t="n"/>
      <c r="T64" s="34" t="n"/>
      <c r="U64" s="34" t="inlineStr">
        <is>
          <t>Not contacted</t>
        </is>
      </c>
      <c r="V64" s="37" t="n"/>
      <c r="W64" s="37" t="n"/>
      <c r="X64">
        <f>IF($W64="","",IF(DATE(YEAR(TODAY()),MONTH($W64),DAY($W64))&gt;=TODAY(),DATE(YEAR(TODAY()),MONTH($W64),DAY($W64))-TODAY(),DATE(YEAR(TODAY())+1,MONTH($W64),DAY($W64))-TODAY()))</f>
        <v/>
      </c>
      <c r="Y64">
        <f>IF($X64="","",IF($X64&lt;=30,"YES",""))</f>
        <v/>
      </c>
      <c r="Z64" s="34">
        <f>IF($F64="Yes","Champion",IF($AB64&gt;=2,"Advocate",IF($AB64&gt;=1,"Referrer",IF($M64&gt;=4,"High Potential",IF($M64&gt;=3,"Standard","New"))))))</f>
        <v/>
      </c>
      <c r="AA64" s="34" t="inlineStr">
        <is>
          <t>No</t>
        </is>
      </c>
      <c r="AB64" s="34" t="n">
        <v>0</v>
      </c>
      <c r="AC64" s="34" t="n"/>
      <c r="AD64" s="37" t="n"/>
      <c r="AE64" s="35" t="n"/>
      <c r="AF64" s="34" t="n"/>
      <c r="AG64" s="34" t="n"/>
      <c r="AH64" s="34" t="n"/>
    </row>
    <row r="65">
      <c r="A65" s="30" t="n">
        <v>63</v>
      </c>
      <c r="B65" s="30" t="inlineStr">
        <is>
          <t>Nurture</t>
        </is>
      </c>
      <c r="C65" s="30" t="n">
        <v>4</v>
      </c>
      <c r="D65" s="31" t="n"/>
      <c r="E65" s="30" t="inlineStr">
        <is>
          <t>NEW</t>
        </is>
      </c>
      <c r="F65" s="30" t="n"/>
      <c r="G65" s="30" t="inlineStr">
        <is>
          <t>Mak Tsz Ho</t>
        </is>
      </c>
      <c r="H65" s="30" t="inlineStr">
        <is>
          <t>Tommy</t>
        </is>
      </c>
      <c r="I65" s="32" t="inlineStr">
        <is>
          <t>51181568</t>
        </is>
      </c>
      <c r="J65" s="30" t="inlineStr">
        <is>
          <t>Male</t>
        </is>
      </c>
      <c r="K65" s="30" t="n">
        <v>23</v>
      </c>
      <c r="L65" s="30" t="inlineStr">
        <is>
          <t>Friend</t>
        </is>
      </c>
      <c r="M65" s="30" t="n">
        <v>3</v>
      </c>
      <c r="N65" s="30" t="n"/>
      <c r="O65" s="30" t="inlineStr">
        <is>
          <t>Unempolyed</t>
        </is>
      </c>
      <c r="P65" s="30" t="inlineStr">
        <is>
          <t>None</t>
        </is>
      </c>
      <c r="Q65" s="30" t="inlineStr">
        <is>
          <t>None</t>
        </is>
      </c>
      <c r="R65" s="31" t="n"/>
      <c r="S65" s="31" t="n"/>
      <c r="T65" s="30" t="n"/>
      <c r="U65" s="30" t="inlineStr">
        <is>
          <t>Not contacted</t>
        </is>
      </c>
      <c r="V65" s="33" t="n"/>
      <c r="W65" s="33" t="n"/>
      <c r="X65">
        <f>IF($W65="","",IF(DATE(YEAR(TODAY()),MONTH($W65),DAY($W65))&gt;=TODAY(),DATE(YEAR(TODAY()),MONTH($W65),DAY($W65))-TODAY(),DATE(YEAR(TODAY())+1,MONTH($W65),DAY($W65))-TODAY()))</f>
        <v/>
      </c>
      <c r="Y65">
        <f>IF($X65="","",IF($X65&lt;=30,"YES",""))</f>
        <v/>
      </c>
      <c r="Z65" s="30">
        <f>IF($F65="Yes","Champion",IF($AB65&gt;=2,"Advocate",IF($AB65&gt;=1,"Referrer",IF($M65&gt;=4,"High Potential",IF($M65&gt;=3,"Standard","New"))))))</f>
        <v/>
      </c>
      <c r="AA65" s="30" t="inlineStr">
        <is>
          <t>No</t>
        </is>
      </c>
      <c r="AB65" s="30" t="n">
        <v>0</v>
      </c>
      <c r="AC65" s="30" t="n"/>
      <c r="AD65" s="33" t="n"/>
      <c r="AE65" s="31" t="n"/>
      <c r="AF65" s="30" t="n"/>
      <c r="AG65" s="30" t="n"/>
      <c r="AH65" s="30" t="n"/>
    </row>
    <row r="66">
      <c r="A66" s="34" t="n">
        <v>64</v>
      </c>
      <c r="B66" s="34" t="inlineStr">
        <is>
          <t>Nurture</t>
        </is>
      </c>
      <c r="C66" s="34" t="n">
        <v>4</v>
      </c>
      <c r="D66" s="35" t="n"/>
      <c r="E66" s="34" t="inlineStr">
        <is>
          <t>NEW</t>
        </is>
      </c>
      <c r="F66" s="34" t="n"/>
      <c r="G66" s="34" t="inlineStr">
        <is>
          <t>Mak Wai Kit</t>
        </is>
      </c>
      <c r="H66" s="34" t="inlineStr">
        <is>
          <t>Sparta</t>
        </is>
      </c>
      <c r="I66" s="36" t="n"/>
      <c r="J66" s="34" t="inlineStr">
        <is>
          <t>Male</t>
        </is>
      </c>
      <c r="K66" s="34" t="n">
        <v>23</v>
      </c>
      <c r="L66" s="34" t="inlineStr">
        <is>
          <t>Friend</t>
        </is>
      </c>
      <c r="M66" s="34" t="n">
        <v>3</v>
      </c>
      <c r="N66" s="34" t="n">
        <v>1</v>
      </c>
      <c r="O66" s="34" t="inlineStr">
        <is>
          <t>Electrician</t>
        </is>
      </c>
      <c r="P66" s="34" t="inlineStr">
        <is>
          <t>None</t>
        </is>
      </c>
      <c r="Q66" s="34" t="inlineStr">
        <is>
          <t>Unknown</t>
        </is>
      </c>
      <c r="R66" s="35" t="n"/>
      <c r="S66" s="35" t="n"/>
      <c r="T66" s="34" t="n"/>
      <c r="U66" s="34" t="inlineStr">
        <is>
          <t>Not contacted</t>
        </is>
      </c>
      <c r="V66" s="37" t="n"/>
      <c r="W66" s="37" t="n"/>
      <c r="X66">
        <f>IF($W66="","",IF(DATE(YEAR(TODAY()),MONTH($W66),DAY($W66))&gt;=TODAY(),DATE(YEAR(TODAY()),MONTH($W66),DAY($W66))-TODAY(),DATE(YEAR(TODAY())+1,MONTH($W66),DAY($W66))-TODAY()))</f>
        <v/>
      </c>
      <c r="Y66">
        <f>IF($X66="","",IF($X66&lt;=30,"YES",""))</f>
        <v/>
      </c>
      <c r="Z66" s="34">
        <f>IF($F66="Yes","Champion",IF($AB66&gt;=2,"Advocate",IF($AB66&gt;=1,"Referrer",IF($M66&gt;=4,"High Potential",IF($M66&gt;=3,"Standard","New"))))))</f>
        <v/>
      </c>
      <c r="AA66" s="34" t="inlineStr">
        <is>
          <t>No</t>
        </is>
      </c>
      <c r="AB66" s="34" t="n">
        <v>0</v>
      </c>
      <c r="AC66" s="34" t="n"/>
      <c r="AD66" s="37" t="n"/>
      <c r="AE66" s="35" t="n"/>
      <c r="AF66" s="34" t="n"/>
      <c r="AG66" s="34" t="n"/>
      <c r="AH66" s="34" t="n"/>
    </row>
    <row r="67">
      <c r="A67" s="30" t="n">
        <v>65</v>
      </c>
      <c r="B67" s="30" t="inlineStr">
        <is>
          <t>Nurture</t>
        </is>
      </c>
      <c r="C67" s="30" t="n">
        <v>4</v>
      </c>
      <c r="D67" s="31" t="n"/>
      <c r="E67" s="30" t="inlineStr">
        <is>
          <t>NEW</t>
        </is>
      </c>
      <c r="F67" s="30" t="n"/>
      <c r="G67" s="30" t="inlineStr">
        <is>
          <t>Wu Bo Yi</t>
        </is>
      </c>
      <c r="H67" s="30" t="inlineStr">
        <is>
          <t>Bowie</t>
        </is>
      </c>
      <c r="I67" s="32" t="inlineStr">
        <is>
          <t>55886197</t>
        </is>
      </c>
      <c r="J67" s="30" t="inlineStr">
        <is>
          <t>Female</t>
        </is>
      </c>
      <c r="K67" s="30" t="n">
        <v>23</v>
      </c>
      <c r="L67" s="30" t="inlineStr">
        <is>
          <t>Friend</t>
        </is>
      </c>
      <c r="M67" s="30" t="n">
        <v>3</v>
      </c>
      <c r="N67" s="30" t="n"/>
      <c r="O67" s="30" t="inlineStr">
        <is>
          <t>immigrate to Canada</t>
        </is>
      </c>
      <c r="P67" s="30" t="inlineStr">
        <is>
          <t>None</t>
        </is>
      </c>
      <c r="Q67" s="30" t="inlineStr">
        <is>
          <t>None</t>
        </is>
      </c>
      <c r="R67" s="31" t="n"/>
      <c r="S67" s="31" t="n"/>
      <c r="T67" s="30" t="n"/>
      <c r="U67" s="30" t="inlineStr">
        <is>
          <t>Not contacted</t>
        </is>
      </c>
      <c r="V67" s="33" t="n"/>
      <c r="W67" s="33" t="n"/>
      <c r="X67">
        <f>IF($W67="","",IF(DATE(YEAR(TODAY()),MONTH($W67),DAY($W67))&gt;=TODAY(),DATE(YEAR(TODAY()),MONTH($W67),DAY($W67))-TODAY(),DATE(YEAR(TODAY())+1,MONTH($W67),DAY($W67))-TODAY()))</f>
        <v/>
      </c>
      <c r="Y67">
        <f>IF($X67="","",IF($X67&lt;=30,"YES",""))</f>
        <v/>
      </c>
      <c r="Z67" s="30">
        <f>IF($F67="Yes","Champion",IF($AB67&gt;=2,"Advocate",IF($AB67&gt;=1,"Referrer",IF($M67&gt;=4,"High Potential",IF($M67&gt;=3,"Standard","New"))))))</f>
        <v/>
      </c>
      <c r="AA67" s="30" t="inlineStr">
        <is>
          <t>No</t>
        </is>
      </c>
      <c r="AB67" s="30" t="n">
        <v>0</v>
      </c>
      <c r="AC67" s="30" t="n"/>
      <c r="AD67" s="33" t="n"/>
      <c r="AE67" s="31" t="n"/>
      <c r="AF67" s="30" t="n"/>
      <c r="AG67" s="30" t="n"/>
      <c r="AH67" s="30" t="n"/>
    </row>
    <row r="68">
      <c r="A68" s="34" t="n">
        <v>66</v>
      </c>
      <c r="B68" s="34" t="inlineStr">
        <is>
          <t>Low</t>
        </is>
      </c>
      <c r="C68" s="34" t="n">
        <v>3</v>
      </c>
      <c r="D68" s="35" t="n"/>
      <c r="E68" s="34" t="inlineStr">
        <is>
          <t>NEW</t>
        </is>
      </c>
      <c r="F68" s="34" t="n"/>
      <c r="G68" s="34" t="inlineStr">
        <is>
          <t>Allison Au</t>
        </is>
      </c>
      <c r="H68" s="34" t="inlineStr">
        <is>
          <t>Allison</t>
        </is>
      </c>
      <c r="I68" s="36" t="inlineStr">
        <is>
          <t>68026007</t>
        </is>
      </c>
      <c r="J68" s="34" t="inlineStr">
        <is>
          <t>Female</t>
        </is>
      </c>
      <c r="K68" s="34" t="n"/>
      <c r="L68" s="34" t="inlineStr">
        <is>
          <t>Friend</t>
        </is>
      </c>
      <c r="M68" s="34" t="n">
        <v>1</v>
      </c>
      <c r="N68" s="34" t="n">
        <v>1</v>
      </c>
      <c r="O68" s="34" t="inlineStr">
        <is>
          <t>HSBC payme team</t>
        </is>
      </c>
      <c r="P68" s="34" t="inlineStr">
        <is>
          <t>Tai Kok tsui</t>
        </is>
      </c>
      <c r="Q68" s="34" t="inlineStr">
        <is>
          <t>$22000</t>
        </is>
      </c>
      <c r="R68" s="35" t="inlineStr">
        <is>
          <t>CI, Retirement</t>
        </is>
      </c>
      <c r="S68" s="35" t="inlineStr">
        <is>
          <t>approch for retired/ci</t>
        </is>
      </c>
      <c r="T68" s="34" t="n"/>
      <c r="U68" s="34" t="inlineStr">
        <is>
          <t>Not contacted</t>
        </is>
      </c>
      <c r="V68" s="37" t="n"/>
      <c r="W68" s="37" t="n"/>
      <c r="X68">
        <f>IF($W68="","",IF(DATE(YEAR(TODAY()),MONTH($W68),DAY($W68))&gt;=TODAY(),DATE(YEAR(TODAY()),MONTH($W68),DAY($W68))-TODAY(),DATE(YEAR(TODAY())+1,MONTH($W68),DAY($W68))-TODAY()))</f>
        <v/>
      </c>
      <c r="Y68">
        <f>IF($X68="","",IF($X68&lt;=30,"YES",""))</f>
        <v/>
      </c>
      <c r="Z68" s="34">
        <f>IF($F68="Yes","Champion",IF($AB68&gt;=2,"Advocate",IF($AB68&gt;=1,"Referrer",IF($M68&gt;=4,"High Potential",IF($M68&gt;=3,"Standard","New"))))))</f>
        <v/>
      </c>
      <c r="AA68" s="34" t="inlineStr">
        <is>
          <t>No</t>
        </is>
      </c>
      <c r="AB68" s="34" t="n">
        <v>0</v>
      </c>
      <c r="AC68" s="34" t="n"/>
      <c r="AD68" s="37" t="n"/>
      <c r="AE68" s="35" t="n"/>
      <c r="AF68" s="34" t="n"/>
      <c r="AG68" s="34" t="n"/>
      <c r="AH68" s="34" t="n"/>
    </row>
    <row r="69">
      <c r="A69" s="30" t="n">
        <v>67</v>
      </c>
      <c r="B69" s="30" t="inlineStr">
        <is>
          <t>Low</t>
        </is>
      </c>
      <c r="C69" s="30" t="n">
        <v>3</v>
      </c>
      <c r="D69" s="31" t="n"/>
      <c r="E69" s="30" t="inlineStr">
        <is>
          <t>NEW</t>
        </is>
      </c>
      <c r="F69" s="30" t="n"/>
      <c r="G69" s="30" t="inlineStr">
        <is>
          <t>Au Yeung Danai</t>
        </is>
      </c>
      <c r="H69" s="30" t="inlineStr">
        <is>
          <t>Danai</t>
        </is>
      </c>
      <c r="I69" s="32" t="inlineStr">
        <is>
          <t>56129594</t>
        </is>
      </c>
      <c r="J69" s="30" t="inlineStr">
        <is>
          <t>Male</t>
        </is>
      </c>
      <c r="K69" s="30" t="n">
        <v>23</v>
      </c>
      <c r="L69" s="30" t="inlineStr">
        <is>
          <t>Friend</t>
        </is>
      </c>
      <c r="M69" s="30" t="n">
        <v>2</v>
      </c>
      <c r="N69" s="30" t="n"/>
      <c r="O69" s="30" t="inlineStr">
        <is>
          <t>Unemployed</t>
        </is>
      </c>
      <c r="P69" s="30" t="inlineStr">
        <is>
          <t>None</t>
        </is>
      </c>
      <c r="Q69" s="30" t="inlineStr">
        <is>
          <t>None</t>
        </is>
      </c>
      <c r="R69" s="31" t="n"/>
      <c r="S69" s="31" t="n"/>
      <c r="T69" s="30" t="n"/>
      <c r="U69" s="30" t="inlineStr">
        <is>
          <t>Not contacted</t>
        </is>
      </c>
      <c r="V69" s="33" t="n"/>
      <c r="W69" s="33" t="n"/>
      <c r="X69">
        <f>IF($W69="","",IF(DATE(YEAR(TODAY()),MONTH($W69),DAY($W69))&gt;=TODAY(),DATE(YEAR(TODAY()),MONTH($W69),DAY($W69))-TODAY(),DATE(YEAR(TODAY())+1,MONTH($W69),DAY($W69))-TODAY()))</f>
        <v/>
      </c>
      <c r="Y69">
        <f>IF($X69="","",IF($X69&lt;=30,"YES",""))</f>
        <v/>
      </c>
      <c r="Z69" s="30">
        <f>IF($F69="Yes","Champion",IF($AB69&gt;=2,"Advocate",IF($AB69&gt;=1,"Referrer",IF($M69&gt;=4,"High Potential",IF($M69&gt;=3,"Standard","New"))))))</f>
        <v/>
      </c>
      <c r="AA69" s="30" t="inlineStr">
        <is>
          <t>No</t>
        </is>
      </c>
      <c r="AB69" s="30" t="n">
        <v>0</v>
      </c>
      <c r="AC69" s="30" t="n"/>
      <c r="AD69" s="33" t="n"/>
      <c r="AE69" s="31" t="n"/>
      <c r="AF69" s="30" t="n"/>
      <c r="AG69" s="30" t="n"/>
      <c r="AH69" s="30" t="n"/>
    </row>
    <row r="70">
      <c r="A70" s="34" t="n">
        <v>68</v>
      </c>
      <c r="B70" s="34" t="inlineStr">
        <is>
          <t>Low</t>
        </is>
      </c>
      <c r="C70" s="34" t="n">
        <v>3</v>
      </c>
      <c r="D70" s="35" t="n"/>
      <c r="E70" s="34" t="inlineStr">
        <is>
          <t>NEW</t>
        </is>
      </c>
      <c r="F70" s="34" t="n"/>
      <c r="G70" s="34" t="inlineStr">
        <is>
          <t>Danny</t>
        </is>
      </c>
      <c r="H70" s="34" t="inlineStr">
        <is>
          <t>Danny</t>
        </is>
      </c>
      <c r="I70" s="36" t="inlineStr">
        <is>
          <t>97415048</t>
        </is>
      </c>
      <c r="J70" s="34" t="inlineStr">
        <is>
          <t>Male</t>
        </is>
      </c>
      <c r="K70" s="34" t="n"/>
      <c r="L70" s="34" t="inlineStr">
        <is>
          <t>Friend</t>
        </is>
      </c>
      <c r="M70" s="34" t="n">
        <v>1</v>
      </c>
      <c r="N70" s="34" t="n">
        <v>1</v>
      </c>
      <c r="O70" s="34" t="inlineStr">
        <is>
          <t>Salon unique</t>
        </is>
      </c>
      <c r="P70" s="34" t="inlineStr">
        <is>
          <t>unknown</t>
        </is>
      </c>
      <c r="Q70" s="34" t="inlineStr">
        <is>
          <t>unknown</t>
        </is>
      </c>
      <c r="R70" s="35" t="n"/>
      <c r="S70" s="35" t="n"/>
      <c r="T70" s="34" t="n"/>
      <c r="U70" s="34" t="inlineStr">
        <is>
          <t>Not contacted</t>
        </is>
      </c>
      <c r="V70" s="37" t="n"/>
      <c r="W70" s="37" t="n"/>
      <c r="X70">
        <f>IF($W70="","",IF(DATE(YEAR(TODAY()),MONTH($W70),DAY($W70))&gt;=TODAY(),DATE(YEAR(TODAY()),MONTH($W70),DAY($W70))-TODAY(),DATE(YEAR(TODAY())+1,MONTH($W70),DAY($W70))-TODAY()))</f>
        <v/>
      </c>
      <c r="Y70">
        <f>IF($X70="","",IF($X70&lt;=30,"YES",""))</f>
        <v/>
      </c>
      <c r="Z70" s="34">
        <f>IF($F70="Yes","Champion",IF($AB70&gt;=2,"Advocate",IF($AB70&gt;=1,"Referrer",IF($M70&gt;=4,"High Potential",IF($M70&gt;=3,"Standard","New"))))))</f>
        <v/>
      </c>
      <c r="AA70" s="34" t="inlineStr">
        <is>
          <t>No</t>
        </is>
      </c>
      <c r="AB70" s="34" t="n">
        <v>0</v>
      </c>
      <c r="AC70" s="34" t="n"/>
      <c r="AD70" s="37" t="n"/>
      <c r="AE70" s="35" t="n"/>
      <c r="AF70" s="34" t="n"/>
      <c r="AG70" s="34" t="n"/>
      <c r="AH70" s="34" t="n"/>
    </row>
    <row r="71">
      <c r="A71" s="30" t="n">
        <v>69</v>
      </c>
      <c r="B71" s="30" t="inlineStr">
        <is>
          <t>Low</t>
        </is>
      </c>
      <c r="C71" s="30" t="n">
        <v>3</v>
      </c>
      <c r="D71" s="31" t="n"/>
      <c r="E71" s="30" t="inlineStr">
        <is>
          <t>NEW</t>
        </is>
      </c>
      <c r="F71" s="30" t="n"/>
      <c r="G71" s="30" t="inlineStr">
        <is>
          <t>Iris</t>
        </is>
      </c>
      <c r="H71" s="30" t="inlineStr">
        <is>
          <t>Iris</t>
        </is>
      </c>
      <c r="I71" s="32" t="inlineStr">
        <is>
          <t>67020610</t>
        </is>
      </c>
      <c r="J71" s="30" t="inlineStr">
        <is>
          <t>Female</t>
        </is>
      </c>
      <c r="K71" s="30" t="n">
        <v>32</v>
      </c>
      <c r="L71" s="30" t="inlineStr">
        <is>
          <t>Ex colleague</t>
        </is>
      </c>
      <c r="M71" s="30" t="n">
        <v>1</v>
      </c>
      <c r="N71" s="30" t="n">
        <v>1</v>
      </c>
      <c r="O71" s="30" t="inlineStr">
        <is>
          <t>HSBC trainer</t>
        </is>
      </c>
      <c r="P71" s="30" t="inlineStr">
        <is>
          <t>Tai Kok tsui</t>
        </is>
      </c>
      <c r="Q71" s="30" t="inlineStr">
        <is>
          <t>$30000~</t>
        </is>
      </c>
      <c r="R71" s="31" t="n"/>
      <c r="S71" s="31" t="n"/>
      <c r="T71" s="30" t="n"/>
      <c r="U71" s="30" t="inlineStr">
        <is>
          <t>Not contacted</t>
        </is>
      </c>
      <c r="V71" s="33" t="n"/>
      <c r="W71" s="33" t="n"/>
      <c r="X71">
        <f>IF($W71="","",IF(DATE(YEAR(TODAY()),MONTH($W71),DAY($W71))&gt;=TODAY(),DATE(YEAR(TODAY()),MONTH($W71),DAY($W71))-TODAY(),DATE(YEAR(TODAY())+1,MONTH($W71),DAY($W71))-TODAY()))</f>
        <v/>
      </c>
      <c r="Y71">
        <f>IF($X71="","",IF($X71&lt;=30,"YES",""))</f>
        <v/>
      </c>
      <c r="Z71" s="30">
        <f>IF($F71="Yes","Champion",IF($AB71&gt;=2,"Advocate",IF($AB71&gt;=1,"Referrer",IF($M71&gt;=4,"High Potential",IF($M71&gt;=3,"Standard","New"))))))</f>
        <v/>
      </c>
      <c r="AA71" s="30" t="inlineStr">
        <is>
          <t>No</t>
        </is>
      </c>
      <c r="AB71" s="30" t="n">
        <v>0</v>
      </c>
      <c r="AC71" s="30" t="n"/>
      <c r="AD71" s="33" t="n"/>
      <c r="AE71" s="31" t="n"/>
      <c r="AF71" s="30" t="n"/>
      <c r="AG71" s="30" t="n"/>
      <c r="AH71" s="30" t="n"/>
    </row>
    <row r="72">
      <c r="A72" s="34" t="n">
        <v>70</v>
      </c>
      <c r="B72" s="34" t="inlineStr">
        <is>
          <t>Low</t>
        </is>
      </c>
      <c r="C72" s="34" t="n">
        <v>3</v>
      </c>
      <c r="D72" s="35" t="n"/>
      <c r="E72" s="34" t="inlineStr">
        <is>
          <t>NEW</t>
        </is>
      </c>
      <c r="F72" s="34" t="n"/>
      <c r="G72" s="34" t="inlineStr">
        <is>
          <t>Jake Wong</t>
        </is>
      </c>
      <c r="H72" s="34" t="inlineStr">
        <is>
          <t>Jake</t>
        </is>
      </c>
      <c r="I72" s="36" t="inlineStr">
        <is>
          <t>94498744</t>
        </is>
      </c>
      <c r="J72" s="34" t="inlineStr">
        <is>
          <t>Male</t>
        </is>
      </c>
      <c r="K72" s="34" t="n"/>
      <c r="L72" s="34" t="inlineStr">
        <is>
          <t>ex colleague</t>
        </is>
      </c>
      <c r="M72" s="34" t="n">
        <v>1</v>
      </c>
      <c r="N72" s="34" t="n">
        <v>1</v>
      </c>
      <c r="O72" s="34" t="inlineStr">
        <is>
          <t>Event recruiter</t>
        </is>
      </c>
      <c r="P72" s="34" t="inlineStr">
        <is>
          <t>unknown</t>
        </is>
      </c>
      <c r="Q72" s="34" t="inlineStr">
        <is>
          <t>unknown</t>
        </is>
      </c>
      <c r="R72" s="35" t="n"/>
      <c r="S72" s="35" t="n"/>
      <c r="T72" s="34" t="n"/>
      <c r="U72" s="34" t="inlineStr">
        <is>
          <t>Not contacted</t>
        </is>
      </c>
      <c r="V72" s="37" t="n"/>
      <c r="W72" s="37" t="n"/>
      <c r="X72">
        <f>IF($W72="","",IF(DATE(YEAR(TODAY()),MONTH($W72),DAY($W72))&gt;=TODAY(),DATE(YEAR(TODAY()),MONTH($W72),DAY($W72))-TODAY(),DATE(YEAR(TODAY())+1,MONTH($W72),DAY($W72))-TODAY()))</f>
        <v/>
      </c>
      <c r="Y72">
        <f>IF($X72="","",IF($X72&lt;=30,"YES",""))</f>
        <v/>
      </c>
      <c r="Z72" s="34">
        <f>IF($F72="Yes","Champion",IF($AB72&gt;=2,"Advocate",IF($AB72&gt;=1,"Referrer",IF($M72&gt;=4,"High Potential",IF($M72&gt;=3,"Standard","New"))))))</f>
        <v/>
      </c>
      <c r="AA72" s="34" t="inlineStr">
        <is>
          <t>No</t>
        </is>
      </c>
      <c r="AB72" s="34" t="n">
        <v>0</v>
      </c>
      <c r="AC72" s="34" t="n"/>
      <c r="AD72" s="37" t="n"/>
      <c r="AE72" s="35" t="n"/>
      <c r="AF72" s="34" t="n"/>
      <c r="AG72" s="34" t="n"/>
      <c r="AH72" s="34" t="n"/>
    </row>
    <row r="73">
      <c r="A73" s="30" t="n">
        <v>71</v>
      </c>
      <c r="B73" s="30" t="inlineStr">
        <is>
          <t>Low</t>
        </is>
      </c>
      <c r="C73" s="30" t="n">
        <v>3</v>
      </c>
      <c r="D73" s="31" t="n"/>
      <c r="E73" s="30" t="inlineStr">
        <is>
          <t>NEW</t>
        </is>
      </c>
      <c r="F73" s="30" t="n"/>
      <c r="G73" s="30" t="inlineStr">
        <is>
          <t>Jonathan Siu</t>
        </is>
      </c>
      <c r="H73" s="30" t="inlineStr">
        <is>
          <t>Jonathan</t>
        </is>
      </c>
      <c r="I73" s="32" t="inlineStr">
        <is>
          <t>97478050</t>
        </is>
      </c>
      <c r="J73" s="30" t="inlineStr">
        <is>
          <t>Male</t>
        </is>
      </c>
      <c r="K73" s="30" t="n">
        <v>30</v>
      </c>
      <c r="L73" s="30" t="inlineStr">
        <is>
          <t>Ex colleague</t>
        </is>
      </c>
      <c r="M73" s="30" t="n">
        <v>1</v>
      </c>
      <c r="N73" s="30" t="n">
        <v>1</v>
      </c>
      <c r="O73" s="30" t="inlineStr">
        <is>
          <t>event recuiter</t>
        </is>
      </c>
      <c r="P73" s="30" t="inlineStr">
        <is>
          <t>unknown</t>
        </is>
      </c>
      <c r="Q73" s="30" t="inlineStr">
        <is>
          <t>unknown</t>
        </is>
      </c>
      <c r="R73" s="31" t="n"/>
      <c r="S73" s="31" t="n"/>
      <c r="T73" s="30" t="n"/>
      <c r="U73" s="30" t="inlineStr">
        <is>
          <t>Not contacted</t>
        </is>
      </c>
      <c r="V73" s="33" t="n"/>
      <c r="W73" s="33" t="n"/>
      <c r="X73">
        <f>IF($W73="","",IF(DATE(YEAR(TODAY()),MONTH($W73),DAY($W73))&gt;=TODAY(),DATE(YEAR(TODAY()),MONTH($W73),DAY($W73))-TODAY(),DATE(YEAR(TODAY())+1,MONTH($W73),DAY($W73))-TODAY()))</f>
        <v/>
      </c>
      <c r="Y73">
        <f>IF($X73="","",IF($X73&lt;=30,"YES",""))</f>
        <v/>
      </c>
      <c r="Z73" s="30">
        <f>IF($F73="Yes","Champion",IF($AB73&gt;=2,"Advocate",IF($AB73&gt;=1,"Referrer",IF($M73&gt;=4,"High Potential",IF($M73&gt;=3,"Standard","New"))))))</f>
        <v/>
      </c>
      <c r="AA73" s="30" t="inlineStr">
        <is>
          <t>No</t>
        </is>
      </c>
      <c r="AB73" s="30" t="n">
        <v>0</v>
      </c>
      <c r="AC73" s="30" t="n"/>
      <c r="AD73" s="33" t="n"/>
      <c r="AE73" s="31" t="n"/>
      <c r="AF73" s="30" t="n"/>
      <c r="AG73" s="30" t="n"/>
      <c r="AH73" s="30" t="n"/>
    </row>
    <row r="74">
      <c r="A74" s="34" t="n">
        <v>72</v>
      </c>
      <c r="B74" s="34" t="inlineStr">
        <is>
          <t>Low</t>
        </is>
      </c>
      <c r="C74" s="34" t="n">
        <v>3</v>
      </c>
      <c r="D74" s="35" t="n"/>
      <c r="E74" s="34" t="inlineStr">
        <is>
          <t>NEW</t>
        </is>
      </c>
      <c r="F74" s="34" t="n"/>
      <c r="G74" s="34" t="inlineStr">
        <is>
          <t>Mandy Lam</t>
        </is>
      </c>
      <c r="H74" s="34" t="inlineStr">
        <is>
          <t>Mandy</t>
        </is>
      </c>
      <c r="I74" s="36" t="inlineStr">
        <is>
          <t>55318114</t>
        </is>
      </c>
      <c r="J74" s="34" t="inlineStr">
        <is>
          <t>Female</t>
        </is>
      </c>
      <c r="K74" s="34" t="n">
        <v>23</v>
      </c>
      <c r="L74" s="34" t="inlineStr">
        <is>
          <t>Friend</t>
        </is>
      </c>
      <c r="M74" s="34" t="n">
        <v>1</v>
      </c>
      <c r="N74" s="34" t="n">
        <v>1</v>
      </c>
      <c r="O74" s="34" t="inlineStr">
        <is>
          <t>unknown</t>
        </is>
      </c>
      <c r="P74" s="34" t="inlineStr">
        <is>
          <t>unknown</t>
        </is>
      </c>
      <c r="Q74" s="34" t="inlineStr">
        <is>
          <t>unknown</t>
        </is>
      </c>
      <c r="R74" s="35" t="n"/>
      <c r="S74" s="35" t="n"/>
      <c r="T74" s="34" t="n"/>
      <c r="U74" s="34" t="inlineStr">
        <is>
          <t>Not contacted</t>
        </is>
      </c>
      <c r="V74" s="37" t="n"/>
      <c r="W74" s="37" t="n"/>
      <c r="X74">
        <f>IF($W74="","",IF(DATE(YEAR(TODAY()),MONTH($W74),DAY($W74))&gt;=TODAY(),DATE(YEAR(TODAY()),MONTH($W74),DAY($W74))-TODAY(),DATE(YEAR(TODAY())+1,MONTH($W74),DAY($W74))-TODAY()))</f>
        <v/>
      </c>
      <c r="Y74">
        <f>IF($X74="","",IF($X74&lt;=30,"YES",""))</f>
        <v/>
      </c>
      <c r="Z74" s="34">
        <f>IF($F74="Yes","Champion",IF($AB74&gt;=2,"Advocate",IF($AB74&gt;=1,"Referrer",IF($M74&gt;=4,"High Potential",IF($M74&gt;=3,"Standard","New"))))))</f>
        <v/>
      </c>
      <c r="AA74" s="34" t="inlineStr">
        <is>
          <t>No</t>
        </is>
      </c>
      <c r="AB74" s="34" t="n">
        <v>0</v>
      </c>
      <c r="AC74" s="34" t="n"/>
      <c r="AD74" s="37" t="n"/>
      <c r="AE74" s="35" t="n"/>
      <c r="AF74" s="34" t="n"/>
      <c r="AG74" s="34" t="n"/>
      <c r="AH74" s="34" t="n"/>
    </row>
    <row r="75">
      <c r="A75" s="30" t="n">
        <v>73</v>
      </c>
      <c r="B75" s="30" t="inlineStr">
        <is>
          <t>Low</t>
        </is>
      </c>
      <c r="C75" s="30" t="n">
        <v>3</v>
      </c>
      <c r="D75" s="31" t="n"/>
      <c r="E75" s="30" t="inlineStr">
        <is>
          <t>NEW</t>
        </is>
      </c>
      <c r="F75" s="30" t="n"/>
      <c r="G75" s="30" t="inlineStr">
        <is>
          <t>ling Fu Gung</t>
        </is>
      </c>
      <c r="H75" s="30" t="inlineStr">
        <is>
          <t>unknown</t>
        </is>
      </c>
      <c r="I75" s="32" t="inlineStr">
        <is>
          <t>55119649</t>
        </is>
      </c>
      <c r="J75" s="30" t="inlineStr">
        <is>
          <t>Male</t>
        </is>
      </c>
      <c r="K75" s="30" t="n">
        <v>24</v>
      </c>
      <c r="L75" s="30" t="inlineStr">
        <is>
          <t>Friend</t>
        </is>
      </c>
      <c r="M75" s="30" t="n">
        <v>1</v>
      </c>
      <c r="N75" s="30" t="n">
        <v>1</v>
      </c>
      <c r="O75" s="30" t="inlineStr">
        <is>
          <t>decoration woker</t>
        </is>
      </c>
      <c r="P75" s="30" t="inlineStr">
        <is>
          <t>unknown</t>
        </is>
      </c>
      <c r="Q75" s="30" t="inlineStr">
        <is>
          <t>unknown</t>
        </is>
      </c>
      <c r="R75" s="31" t="n"/>
      <c r="S75" s="31" t="n"/>
      <c r="T75" s="30" t="n"/>
      <c r="U75" s="30" t="inlineStr">
        <is>
          <t>Not contacted</t>
        </is>
      </c>
      <c r="V75" s="33" t="n"/>
      <c r="W75" s="33" t="n"/>
      <c r="X75">
        <f>IF($W75="","",IF(DATE(YEAR(TODAY()),MONTH($W75),DAY($W75))&gt;=TODAY(),DATE(YEAR(TODAY()),MONTH($W75),DAY($W75))-TODAY(),DATE(YEAR(TODAY())+1,MONTH($W75),DAY($W75))-TODAY()))</f>
        <v/>
      </c>
      <c r="Y75">
        <f>IF($X75="","",IF($X75&lt;=30,"YES",""))</f>
        <v/>
      </c>
      <c r="Z75" s="30">
        <f>IF($F75="Yes","Champion",IF($AB75&gt;=2,"Advocate",IF($AB75&gt;=1,"Referrer",IF($M75&gt;=4,"High Potential",IF($M75&gt;=3,"Standard","New"))))))</f>
        <v/>
      </c>
      <c r="AA75" s="30" t="inlineStr">
        <is>
          <t>No</t>
        </is>
      </c>
      <c r="AB75" s="30" t="n">
        <v>0</v>
      </c>
      <c r="AC75" s="30" t="n"/>
      <c r="AD75" s="33" t="n"/>
      <c r="AE75" s="31" t="n"/>
      <c r="AF75" s="30" t="n"/>
      <c r="AG75" s="30" t="n"/>
      <c r="AH75" s="30" t="n"/>
    </row>
    <row r="76">
      <c r="A76" s="34" t="n">
        <v>74</v>
      </c>
      <c r="B76" s="34" t="inlineStr">
        <is>
          <t>Low</t>
        </is>
      </c>
      <c r="C76" s="34" t="n">
        <v>2</v>
      </c>
      <c r="D76" s="35" t="n"/>
      <c r="E76" s="34" t="inlineStr">
        <is>
          <t>NEW</t>
        </is>
      </c>
      <c r="F76" s="34" t="n"/>
      <c r="G76" s="34" t="inlineStr">
        <is>
          <t>Alvin Cheung</t>
        </is>
      </c>
      <c r="H76" s="34" t="inlineStr">
        <is>
          <t>Alvin</t>
        </is>
      </c>
      <c r="I76" s="36" t="n"/>
      <c r="J76" s="34" t="inlineStr">
        <is>
          <t>Male</t>
        </is>
      </c>
      <c r="K76" s="34" t="n">
        <v>23</v>
      </c>
      <c r="L76" s="34" t="inlineStr">
        <is>
          <t>Friend</t>
        </is>
      </c>
      <c r="M76" s="34" t="n">
        <v>1</v>
      </c>
      <c r="N76" s="34" t="n">
        <v>1</v>
      </c>
      <c r="O76" s="34" t="inlineStr">
        <is>
          <t>Unknown</t>
        </is>
      </c>
      <c r="P76" s="34" t="inlineStr">
        <is>
          <t>Unknown</t>
        </is>
      </c>
      <c r="Q76" s="34" t="inlineStr">
        <is>
          <t>Unknown</t>
        </is>
      </c>
      <c r="R76" s="35" t="n"/>
      <c r="S76" s="35" t="n"/>
      <c r="T76" s="34" t="n"/>
      <c r="U76" s="34" t="inlineStr">
        <is>
          <t>Not contacted</t>
        </is>
      </c>
      <c r="V76" s="37" t="n"/>
      <c r="W76" s="37" t="n"/>
      <c r="X76">
        <f>IF($W76="","",IF(DATE(YEAR(TODAY()),MONTH($W76),DAY($W76))&gt;=TODAY(),DATE(YEAR(TODAY()),MONTH($W76),DAY($W76))-TODAY(),DATE(YEAR(TODAY())+1,MONTH($W76),DAY($W76))-TODAY()))</f>
        <v/>
      </c>
      <c r="Y76">
        <f>IF($X76="","",IF($X76&lt;=30,"YES",""))</f>
        <v/>
      </c>
      <c r="Z76" s="34">
        <f>IF($F76="Yes","Champion",IF($AB76&gt;=2,"Advocate",IF($AB76&gt;=1,"Referrer",IF($M76&gt;=4,"High Potential",IF($M76&gt;=3,"Standard","New"))))))</f>
        <v/>
      </c>
      <c r="AA76" s="34" t="inlineStr">
        <is>
          <t>No</t>
        </is>
      </c>
      <c r="AB76" s="34" t="n">
        <v>0</v>
      </c>
      <c r="AC76" s="34" t="n"/>
      <c r="AD76" s="37" t="n"/>
      <c r="AE76" s="35" t="n"/>
      <c r="AF76" s="34" t="n"/>
      <c r="AG76" s="34" t="n"/>
      <c r="AH76" s="34" t="n"/>
    </row>
    <row r="77">
      <c r="A77" s="30" t="n">
        <v>75</v>
      </c>
      <c r="B77" s="30" t="inlineStr">
        <is>
          <t>Low</t>
        </is>
      </c>
      <c r="C77" s="30" t="n">
        <v>2</v>
      </c>
      <c r="D77" s="31" t="n"/>
      <c r="E77" s="30" t="inlineStr">
        <is>
          <t>NEW</t>
        </is>
      </c>
      <c r="F77" s="30" t="n"/>
      <c r="G77" s="30" t="inlineStr">
        <is>
          <t>Angela Yeung</t>
        </is>
      </c>
      <c r="H77" s="30" t="inlineStr">
        <is>
          <t>Angela</t>
        </is>
      </c>
      <c r="I77" s="32" t="n"/>
      <c r="J77" s="30" t="inlineStr">
        <is>
          <t>Female</t>
        </is>
      </c>
      <c r="K77" s="30" t="n">
        <v>24</v>
      </c>
      <c r="L77" s="30" t="inlineStr">
        <is>
          <t>Friend</t>
        </is>
      </c>
      <c r="M77" s="30" t="n">
        <v>1</v>
      </c>
      <c r="N77" s="30" t="n">
        <v>1</v>
      </c>
      <c r="O77" s="30" t="inlineStr">
        <is>
          <t>Reporter</t>
        </is>
      </c>
      <c r="P77" s="30" t="inlineStr">
        <is>
          <t>Unknown</t>
        </is>
      </c>
      <c r="Q77" s="30" t="inlineStr">
        <is>
          <t>Unknown</t>
        </is>
      </c>
      <c r="R77" s="31" t="n"/>
      <c r="S77" s="31" t="n"/>
      <c r="T77" s="30" t="n"/>
      <c r="U77" s="30" t="inlineStr">
        <is>
          <t>Not contacted</t>
        </is>
      </c>
      <c r="V77" s="33" t="n"/>
      <c r="W77" s="33" t="n"/>
      <c r="X77">
        <f>IF($W77="","",IF(DATE(YEAR(TODAY()),MONTH($W77),DAY($W77))&gt;=TODAY(),DATE(YEAR(TODAY()),MONTH($W77),DAY($W77))-TODAY(),DATE(YEAR(TODAY())+1,MONTH($W77),DAY($W77))-TODAY()))</f>
        <v/>
      </c>
      <c r="Y77">
        <f>IF($X77="","",IF($X77&lt;=30,"YES",""))</f>
        <v/>
      </c>
      <c r="Z77" s="30">
        <f>IF($F77="Yes","Champion",IF($AB77&gt;=2,"Advocate",IF($AB77&gt;=1,"Referrer",IF($M77&gt;=4,"High Potential",IF($M77&gt;=3,"Standard","New"))))))</f>
        <v/>
      </c>
      <c r="AA77" s="30" t="inlineStr">
        <is>
          <t>No</t>
        </is>
      </c>
      <c r="AB77" s="30" t="n">
        <v>0</v>
      </c>
      <c r="AC77" s="30" t="n"/>
      <c r="AD77" s="33" t="n"/>
      <c r="AE77" s="31" t="n"/>
      <c r="AF77" s="30" t="n"/>
      <c r="AG77" s="30" t="n"/>
      <c r="AH77" s="30" t="n"/>
    </row>
    <row r="78">
      <c r="A78" s="34" t="n">
        <v>76</v>
      </c>
      <c r="B78" s="34" t="inlineStr">
        <is>
          <t>Low</t>
        </is>
      </c>
      <c r="C78" s="34" t="n">
        <v>2</v>
      </c>
      <c r="D78" s="35" t="n"/>
      <c r="E78" s="34" t="inlineStr">
        <is>
          <t>NEW</t>
        </is>
      </c>
      <c r="F78" s="34" t="n"/>
      <c r="G78" s="34" t="inlineStr">
        <is>
          <t>Au yueng Phantat</t>
        </is>
      </c>
      <c r="H78" s="34" t="inlineStr">
        <is>
          <t>Phantat</t>
        </is>
      </c>
      <c r="I78" s="36" t="n"/>
      <c r="J78" s="34" t="inlineStr">
        <is>
          <t>Male</t>
        </is>
      </c>
      <c r="K78" s="34" t="n">
        <v>27</v>
      </c>
      <c r="L78" s="34" t="inlineStr">
        <is>
          <t>Friend brother</t>
        </is>
      </c>
      <c r="M78" s="34" t="n">
        <v>1</v>
      </c>
      <c r="N78" s="34" t="n">
        <v>1</v>
      </c>
      <c r="O78" s="34" t="inlineStr">
        <is>
          <t>security gurad</t>
        </is>
      </c>
      <c r="P78" s="34" t="inlineStr">
        <is>
          <t>Unknown</t>
        </is>
      </c>
      <c r="Q78" s="34" t="inlineStr">
        <is>
          <t>Unknown</t>
        </is>
      </c>
      <c r="R78" s="35" t="n"/>
      <c r="S78" s="35" t="n"/>
      <c r="T78" s="34" t="n"/>
      <c r="U78" s="34" t="inlineStr">
        <is>
          <t>Not contacted</t>
        </is>
      </c>
      <c r="V78" s="37" t="n"/>
      <c r="W78" s="37" t="n"/>
      <c r="X78">
        <f>IF($W78="","",IF(DATE(YEAR(TODAY()),MONTH($W78),DAY($W78))&gt;=TODAY(),DATE(YEAR(TODAY()),MONTH($W78),DAY($W78))-TODAY(),DATE(YEAR(TODAY())+1,MONTH($W78),DAY($W78))-TODAY()))</f>
        <v/>
      </c>
      <c r="Y78">
        <f>IF($X78="","",IF($X78&lt;=30,"YES",""))</f>
        <v/>
      </c>
      <c r="Z78" s="34">
        <f>IF($F78="Yes","Champion",IF($AB78&gt;=2,"Advocate",IF($AB78&gt;=1,"Referrer",IF($M78&gt;=4,"High Potential",IF($M78&gt;=3,"Standard","New"))))))</f>
        <v/>
      </c>
      <c r="AA78" s="34" t="inlineStr">
        <is>
          <t>No</t>
        </is>
      </c>
      <c r="AB78" s="34" t="n">
        <v>0</v>
      </c>
      <c r="AC78" s="34" t="n"/>
      <c r="AD78" s="37" t="n"/>
      <c r="AE78" s="35" t="n"/>
      <c r="AF78" s="34" t="n"/>
      <c r="AG78" s="34" t="n"/>
      <c r="AH78" s="34" t="n"/>
    </row>
    <row r="79">
      <c r="A79" s="30" t="n">
        <v>77</v>
      </c>
      <c r="B79" s="30" t="inlineStr">
        <is>
          <t>Low</t>
        </is>
      </c>
      <c r="C79" s="30" t="n">
        <v>2</v>
      </c>
      <c r="D79" s="31" t="n"/>
      <c r="E79" s="30" t="inlineStr">
        <is>
          <t>NEW</t>
        </is>
      </c>
      <c r="F79" s="30" t="n"/>
      <c r="G79" s="30" t="inlineStr">
        <is>
          <t>Beatrice Lam</t>
        </is>
      </c>
      <c r="H79" s="30" t="inlineStr">
        <is>
          <t>Beatrice</t>
        </is>
      </c>
      <c r="I79" s="32" t="n"/>
      <c r="J79" s="30" t="inlineStr">
        <is>
          <t>Female</t>
        </is>
      </c>
      <c r="K79" s="30" t="n">
        <v>24</v>
      </c>
      <c r="L79" s="30" t="inlineStr">
        <is>
          <t>Friend</t>
        </is>
      </c>
      <c r="M79" s="30" t="n">
        <v>1</v>
      </c>
      <c r="N79" s="30" t="n">
        <v>1</v>
      </c>
      <c r="O79" s="30" t="inlineStr">
        <is>
          <t>Unknown</t>
        </is>
      </c>
      <c r="P79" s="30" t="inlineStr">
        <is>
          <t>Unknown</t>
        </is>
      </c>
      <c r="Q79" s="30" t="inlineStr">
        <is>
          <t>Unknown</t>
        </is>
      </c>
      <c r="R79" s="31" t="n"/>
      <c r="S79" s="31" t="n"/>
      <c r="T79" s="30" t="n"/>
      <c r="U79" s="30" t="inlineStr">
        <is>
          <t>Not contacted</t>
        </is>
      </c>
      <c r="V79" s="33" t="n"/>
      <c r="W79" s="33" t="n"/>
      <c r="X79">
        <f>IF($W79="","",IF(DATE(YEAR(TODAY()),MONTH($W79),DAY($W79))&gt;=TODAY(),DATE(YEAR(TODAY()),MONTH($W79),DAY($W79))-TODAY(),DATE(YEAR(TODAY())+1,MONTH($W79),DAY($W79))-TODAY()))</f>
        <v/>
      </c>
      <c r="Y79">
        <f>IF($X79="","",IF($X79&lt;=30,"YES",""))</f>
        <v/>
      </c>
      <c r="Z79" s="30">
        <f>IF($F79="Yes","Champion",IF($AB79&gt;=2,"Advocate",IF($AB79&gt;=1,"Referrer",IF($M79&gt;=4,"High Potential",IF($M79&gt;=3,"Standard","New"))))))</f>
        <v/>
      </c>
      <c r="AA79" s="30" t="inlineStr">
        <is>
          <t>No</t>
        </is>
      </c>
      <c r="AB79" s="30" t="n">
        <v>0</v>
      </c>
      <c r="AC79" s="30" t="n"/>
      <c r="AD79" s="33" t="n"/>
      <c r="AE79" s="31" t="n"/>
      <c r="AF79" s="30" t="n"/>
      <c r="AG79" s="30" t="n"/>
      <c r="AH79" s="30" t="n"/>
    </row>
    <row r="80">
      <c r="A80" s="34" t="n">
        <v>78</v>
      </c>
      <c r="B80" s="34" t="inlineStr">
        <is>
          <t>Low</t>
        </is>
      </c>
      <c r="C80" s="34" t="n">
        <v>2</v>
      </c>
      <c r="D80" s="35" t="n"/>
      <c r="E80" s="34" t="inlineStr">
        <is>
          <t>NEW</t>
        </is>
      </c>
      <c r="F80" s="34" t="n"/>
      <c r="G80" s="34" t="inlineStr">
        <is>
          <t>Broke</t>
        </is>
      </c>
      <c r="H80" s="34" t="inlineStr">
        <is>
          <t>Broke</t>
        </is>
      </c>
      <c r="I80" s="36" t="n"/>
      <c r="J80" s="34" t="inlineStr">
        <is>
          <t>Male</t>
        </is>
      </c>
      <c r="K80" s="34" t="n"/>
      <c r="L80" s="34" t="inlineStr">
        <is>
          <t>ex colleague</t>
        </is>
      </c>
      <c r="M80" s="34" t="n">
        <v>1</v>
      </c>
      <c r="N80" s="34" t="n">
        <v>1</v>
      </c>
      <c r="O80" s="34" t="inlineStr">
        <is>
          <t>event recruiter</t>
        </is>
      </c>
      <c r="P80" s="34" t="inlineStr">
        <is>
          <t>unknown</t>
        </is>
      </c>
      <c r="Q80" s="34" t="inlineStr">
        <is>
          <t>unknown</t>
        </is>
      </c>
      <c r="R80" s="35" t="n"/>
      <c r="S80" s="35" t="n"/>
      <c r="T80" s="34" t="n"/>
      <c r="U80" s="34" t="inlineStr">
        <is>
          <t>Not contacted</t>
        </is>
      </c>
      <c r="V80" s="37" t="n"/>
      <c r="W80" s="37" t="n"/>
      <c r="X80">
        <f>IF($W80="","",IF(DATE(YEAR(TODAY()),MONTH($W80),DAY($W80))&gt;=TODAY(),DATE(YEAR(TODAY()),MONTH($W80),DAY($W80))-TODAY(),DATE(YEAR(TODAY())+1,MONTH($W80),DAY($W80))-TODAY()))</f>
        <v/>
      </c>
      <c r="Y80">
        <f>IF($X80="","",IF($X80&lt;=30,"YES",""))</f>
        <v/>
      </c>
      <c r="Z80" s="34">
        <f>IF($F80="Yes","Champion",IF($AB80&gt;=2,"Advocate",IF($AB80&gt;=1,"Referrer",IF($M80&gt;=4,"High Potential",IF($M80&gt;=3,"Standard","New"))))))</f>
        <v/>
      </c>
      <c r="AA80" s="34" t="inlineStr">
        <is>
          <t>No</t>
        </is>
      </c>
      <c r="AB80" s="34" t="n">
        <v>0</v>
      </c>
      <c r="AC80" s="34" t="n"/>
      <c r="AD80" s="37" t="n"/>
      <c r="AE80" s="35" t="n"/>
      <c r="AF80" s="34" t="n"/>
      <c r="AG80" s="34" t="n"/>
      <c r="AH80" s="34" t="n"/>
    </row>
    <row r="81">
      <c r="A81" s="30" t="n">
        <v>79</v>
      </c>
      <c r="B81" s="30" t="inlineStr">
        <is>
          <t>Low</t>
        </is>
      </c>
      <c r="C81" s="30" t="n">
        <v>2</v>
      </c>
      <c r="D81" s="31" t="n"/>
      <c r="E81" s="30" t="inlineStr">
        <is>
          <t>NEW</t>
        </is>
      </c>
      <c r="F81" s="30" t="n"/>
      <c r="G81" s="30" t="inlineStr">
        <is>
          <t>Carman cheung</t>
        </is>
      </c>
      <c r="H81" s="30" t="inlineStr">
        <is>
          <t>Carman</t>
        </is>
      </c>
      <c r="I81" s="32" t="n"/>
      <c r="J81" s="30" t="inlineStr">
        <is>
          <t>Female</t>
        </is>
      </c>
      <c r="K81" s="30" t="n">
        <v>24</v>
      </c>
      <c r="L81" s="30" t="inlineStr">
        <is>
          <t>Friend</t>
        </is>
      </c>
      <c r="M81" s="30" t="n">
        <v>1</v>
      </c>
      <c r="N81" s="30" t="n">
        <v>1</v>
      </c>
      <c r="O81" s="30" t="inlineStr">
        <is>
          <t>Unknown</t>
        </is>
      </c>
      <c r="P81" s="30" t="inlineStr">
        <is>
          <t>Unknown</t>
        </is>
      </c>
      <c r="Q81" s="30" t="inlineStr">
        <is>
          <t>Unknown</t>
        </is>
      </c>
      <c r="R81" s="31" t="n"/>
      <c r="S81" s="31" t="n"/>
      <c r="T81" s="30" t="n"/>
      <c r="U81" s="30" t="inlineStr">
        <is>
          <t>Not contacted</t>
        </is>
      </c>
      <c r="V81" s="33" t="n"/>
      <c r="W81" s="33" t="n"/>
      <c r="X81">
        <f>IF($W81="","",IF(DATE(YEAR(TODAY()),MONTH($W81),DAY($W81))&gt;=TODAY(),DATE(YEAR(TODAY()),MONTH($W81),DAY($W81))-TODAY(),DATE(YEAR(TODAY())+1,MONTH($W81),DAY($W81))-TODAY()))</f>
        <v/>
      </c>
      <c r="Y81">
        <f>IF($X81="","",IF($X81&lt;=30,"YES",""))</f>
        <v/>
      </c>
      <c r="Z81" s="30">
        <f>IF($F81="Yes","Champion",IF($AB81&gt;=2,"Advocate",IF($AB81&gt;=1,"Referrer",IF($M81&gt;=4,"High Potential",IF($M81&gt;=3,"Standard","New"))))))</f>
        <v/>
      </c>
      <c r="AA81" s="30" t="inlineStr">
        <is>
          <t>No</t>
        </is>
      </c>
      <c r="AB81" s="30" t="n">
        <v>0</v>
      </c>
      <c r="AC81" s="30" t="n"/>
      <c r="AD81" s="33" t="n"/>
      <c r="AE81" s="31" t="n"/>
      <c r="AF81" s="30" t="n"/>
      <c r="AG81" s="30" t="n"/>
      <c r="AH81" s="30" t="n"/>
    </row>
    <row r="82">
      <c r="A82" s="34" t="n">
        <v>80</v>
      </c>
      <c r="B82" s="34" t="inlineStr">
        <is>
          <t>Low</t>
        </is>
      </c>
      <c r="C82" s="34" t="n">
        <v>2</v>
      </c>
      <c r="D82" s="35" t="n"/>
      <c r="E82" s="34" t="inlineStr">
        <is>
          <t>NEW</t>
        </is>
      </c>
      <c r="F82" s="34" t="n"/>
      <c r="G82" s="34" t="inlineStr">
        <is>
          <t>Fat Chung</t>
        </is>
      </c>
      <c r="H82" s="34" t="inlineStr">
        <is>
          <t>Fat Chung</t>
        </is>
      </c>
      <c r="I82" s="36" t="n"/>
      <c r="J82" s="34" t="inlineStr">
        <is>
          <t>Male</t>
        </is>
      </c>
      <c r="K82" s="34" t="n">
        <v>22</v>
      </c>
      <c r="L82" s="34" t="inlineStr">
        <is>
          <t>Friend</t>
        </is>
      </c>
      <c r="M82" s="34" t="n">
        <v>1</v>
      </c>
      <c r="N82" s="34" t="n">
        <v>1</v>
      </c>
      <c r="O82" s="34" t="inlineStr">
        <is>
          <t>Pt (gym)</t>
        </is>
      </c>
      <c r="P82" s="34" t="inlineStr">
        <is>
          <t>Unknown</t>
        </is>
      </c>
      <c r="Q82" s="34" t="inlineStr">
        <is>
          <t>Unknown</t>
        </is>
      </c>
      <c r="R82" s="35" t="n"/>
      <c r="S82" s="35" t="n"/>
      <c r="T82" s="34" t="n"/>
      <c r="U82" s="34" t="inlineStr">
        <is>
          <t>Not contacted</t>
        </is>
      </c>
      <c r="V82" s="37" t="n"/>
      <c r="W82" s="37" t="n"/>
      <c r="X82">
        <f>IF($W82="","",IF(DATE(YEAR(TODAY()),MONTH($W82),DAY($W82))&gt;=TODAY(),DATE(YEAR(TODAY()),MONTH($W82),DAY($W82))-TODAY(),DATE(YEAR(TODAY())+1,MONTH($W82),DAY($W82))-TODAY()))</f>
        <v/>
      </c>
      <c r="Y82">
        <f>IF($X82="","",IF($X82&lt;=30,"YES",""))</f>
        <v/>
      </c>
      <c r="Z82" s="34">
        <f>IF($F82="Yes","Champion",IF($AB82&gt;=2,"Advocate",IF($AB82&gt;=1,"Referrer",IF($M82&gt;=4,"High Potential",IF($M82&gt;=3,"Standard","New"))))))</f>
        <v/>
      </c>
      <c r="AA82" s="34" t="inlineStr">
        <is>
          <t>No</t>
        </is>
      </c>
      <c r="AB82" s="34" t="n">
        <v>0</v>
      </c>
      <c r="AC82" s="34" t="n"/>
      <c r="AD82" s="37" t="n"/>
      <c r="AE82" s="35" t="n"/>
      <c r="AF82" s="34" t="n"/>
      <c r="AG82" s="34" t="n"/>
      <c r="AH82" s="34" t="n"/>
    </row>
    <row r="83">
      <c r="A83" s="30" t="n">
        <v>81</v>
      </c>
      <c r="B83" s="30" t="inlineStr">
        <is>
          <t>Low</t>
        </is>
      </c>
      <c r="C83" s="30" t="n">
        <v>2</v>
      </c>
      <c r="D83" s="31" t="n"/>
      <c r="E83" s="30" t="inlineStr">
        <is>
          <t>NEW</t>
        </is>
      </c>
      <c r="F83" s="30" t="n"/>
      <c r="G83" s="30" t="inlineStr">
        <is>
          <t>Fung Hoi Yan</t>
        </is>
      </c>
      <c r="H83" s="30" t="inlineStr">
        <is>
          <t>Yan</t>
        </is>
      </c>
      <c r="I83" s="32" t="n"/>
      <c r="J83" s="30" t="inlineStr">
        <is>
          <t>Female</t>
        </is>
      </c>
      <c r="K83" s="30" t="n">
        <v>24</v>
      </c>
      <c r="L83" s="30" t="inlineStr">
        <is>
          <t>Friend</t>
        </is>
      </c>
      <c r="M83" s="30" t="n">
        <v>1</v>
      </c>
      <c r="N83" s="30" t="n">
        <v>1</v>
      </c>
      <c r="O83" s="30" t="inlineStr">
        <is>
          <t>Disoenser</t>
        </is>
      </c>
      <c r="P83" s="30" t="inlineStr">
        <is>
          <t>Unknown</t>
        </is>
      </c>
      <c r="Q83" s="30" t="inlineStr">
        <is>
          <t>Unknown</t>
        </is>
      </c>
      <c r="R83" s="31" t="n"/>
      <c r="S83" s="31" t="n"/>
      <c r="T83" s="30" t="n"/>
      <c r="U83" s="30" t="inlineStr">
        <is>
          <t>Not contacted</t>
        </is>
      </c>
      <c r="V83" s="33" t="n"/>
      <c r="W83" s="33" t="n"/>
      <c r="X83">
        <f>IF($W83="","",IF(DATE(YEAR(TODAY()),MONTH($W83),DAY($W83))&gt;=TODAY(),DATE(YEAR(TODAY()),MONTH($W83),DAY($W83))-TODAY(),DATE(YEAR(TODAY())+1,MONTH($W83),DAY($W83))-TODAY()))</f>
        <v/>
      </c>
      <c r="Y83">
        <f>IF($X83="","",IF($X83&lt;=30,"YES",""))</f>
        <v/>
      </c>
      <c r="Z83" s="30">
        <f>IF($F83="Yes","Champion",IF($AB83&gt;=2,"Advocate",IF($AB83&gt;=1,"Referrer",IF($M83&gt;=4,"High Potential",IF($M83&gt;=3,"Standard","New"))))))</f>
        <v/>
      </c>
      <c r="AA83" s="30" t="inlineStr">
        <is>
          <t>No</t>
        </is>
      </c>
      <c r="AB83" s="30" t="n">
        <v>0</v>
      </c>
      <c r="AC83" s="30" t="n"/>
      <c r="AD83" s="33" t="n"/>
      <c r="AE83" s="31" t="n"/>
      <c r="AF83" s="30" t="n"/>
      <c r="AG83" s="30" t="n"/>
      <c r="AH83" s="30" t="n"/>
    </row>
    <row r="84">
      <c r="A84" s="34" t="n">
        <v>82</v>
      </c>
      <c r="B84" s="34" t="inlineStr">
        <is>
          <t>Low</t>
        </is>
      </c>
      <c r="C84" s="34" t="n">
        <v>2</v>
      </c>
      <c r="D84" s="35" t="n"/>
      <c r="E84" s="34" t="inlineStr">
        <is>
          <t>NEW</t>
        </is>
      </c>
      <c r="F84" s="34" t="n"/>
      <c r="G84" s="34" t="inlineStr">
        <is>
          <t>Jasmine liu</t>
        </is>
      </c>
      <c r="H84" s="34" t="inlineStr">
        <is>
          <t>Jasmine</t>
        </is>
      </c>
      <c r="I84" s="36" t="n"/>
      <c r="J84" s="34" t="inlineStr">
        <is>
          <t>Male</t>
        </is>
      </c>
      <c r="K84" s="34" t="n">
        <v>23</v>
      </c>
      <c r="L84" s="34" t="inlineStr">
        <is>
          <t>Friend</t>
        </is>
      </c>
      <c r="M84" s="34" t="n">
        <v>1</v>
      </c>
      <c r="N84" s="34" t="n">
        <v>1</v>
      </c>
      <c r="O84" s="34" t="inlineStr">
        <is>
          <t>nurse student</t>
        </is>
      </c>
      <c r="P84" s="34" t="inlineStr">
        <is>
          <t>unknown</t>
        </is>
      </c>
      <c r="Q84" s="34" t="inlineStr">
        <is>
          <t>unknown</t>
        </is>
      </c>
      <c r="R84" s="35" t="n"/>
      <c r="S84" s="35" t="n"/>
      <c r="T84" s="34" t="n"/>
      <c r="U84" s="34" t="inlineStr">
        <is>
          <t>Not contacted</t>
        </is>
      </c>
      <c r="V84" s="37" t="n"/>
      <c r="W84" s="37" t="n"/>
      <c r="X84">
        <f>IF($W84="","",IF(DATE(YEAR(TODAY()),MONTH($W84),DAY($W84))&gt;=TODAY(),DATE(YEAR(TODAY()),MONTH($W84),DAY($W84))-TODAY(),DATE(YEAR(TODAY())+1,MONTH($W84),DAY($W84))-TODAY()))</f>
        <v/>
      </c>
      <c r="Y84">
        <f>IF($X84="","",IF($X84&lt;=30,"YES",""))</f>
        <v/>
      </c>
      <c r="Z84" s="34">
        <f>IF($F84="Yes","Champion",IF($AB84&gt;=2,"Advocate",IF($AB84&gt;=1,"Referrer",IF($M84&gt;=4,"High Potential",IF($M84&gt;=3,"Standard","New"))))))</f>
        <v/>
      </c>
      <c r="AA84" s="34" t="inlineStr">
        <is>
          <t>No</t>
        </is>
      </c>
      <c r="AB84" s="34" t="n">
        <v>0</v>
      </c>
      <c r="AC84" s="34" t="n"/>
      <c r="AD84" s="37" t="n"/>
      <c r="AE84" s="35" t="n"/>
      <c r="AF84" s="34" t="n"/>
      <c r="AG84" s="34" t="n"/>
      <c r="AH84" s="34" t="n"/>
    </row>
    <row r="85">
      <c r="A85" s="30" t="n">
        <v>83</v>
      </c>
      <c r="B85" s="30" t="inlineStr">
        <is>
          <t>Low</t>
        </is>
      </c>
      <c r="C85" s="30" t="n">
        <v>2</v>
      </c>
      <c r="D85" s="31" t="n"/>
      <c r="E85" s="30" t="inlineStr">
        <is>
          <t>NEW</t>
        </is>
      </c>
      <c r="F85" s="30" t="n"/>
      <c r="G85" s="30" t="inlineStr">
        <is>
          <t>Ken WOng</t>
        </is>
      </c>
      <c r="H85" s="30" t="inlineStr">
        <is>
          <t>Ken</t>
        </is>
      </c>
      <c r="I85" s="32" t="n"/>
      <c r="J85" s="30" t="inlineStr">
        <is>
          <t>Male</t>
        </is>
      </c>
      <c r="K85" s="30" t="n">
        <v>24</v>
      </c>
      <c r="L85" s="30" t="inlineStr">
        <is>
          <t>Friend</t>
        </is>
      </c>
      <c r="M85" s="30" t="n">
        <v>1</v>
      </c>
      <c r="N85" s="30" t="n">
        <v>1</v>
      </c>
      <c r="O85" s="30" t="inlineStr">
        <is>
          <t>e-sport host</t>
        </is>
      </c>
      <c r="P85" s="30" t="inlineStr">
        <is>
          <t>Unknown</t>
        </is>
      </c>
      <c r="Q85" s="30" t="inlineStr">
        <is>
          <t>Unknown</t>
        </is>
      </c>
      <c r="R85" s="31" t="n"/>
      <c r="S85" s="31" t="n"/>
      <c r="T85" s="30" t="n"/>
      <c r="U85" s="30" t="inlineStr">
        <is>
          <t>Not contacted</t>
        </is>
      </c>
      <c r="V85" s="33" t="n"/>
      <c r="W85" s="33" t="n"/>
      <c r="X85">
        <f>IF($W85="","",IF(DATE(YEAR(TODAY()),MONTH($W85),DAY($W85))&gt;=TODAY(),DATE(YEAR(TODAY()),MONTH($W85),DAY($W85))-TODAY(),DATE(YEAR(TODAY())+1,MONTH($W85),DAY($W85))-TODAY()))</f>
        <v/>
      </c>
      <c r="Y85">
        <f>IF($X85="","",IF($X85&lt;=30,"YES",""))</f>
        <v/>
      </c>
      <c r="Z85" s="30">
        <f>IF($F85="Yes","Champion",IF($AB85&gt;=2,"Advocate",IF($AB85&gt;=1,"Referrer",IF($M85&gt;=4,"High Potential",IF($M85&gt;=3,"Standard","New"))))))</f>
        <v/>
      </c>
      <c r="AA85" s="30" t="inlineStr">
        <is>
          <t>No</t>
        </is>
      </c>
      <c r="AB85" s="30" t="n">
        <v>0</v>
      </c>
      <c r="AC85" s="30" t="n"/>
      <c r="AD85" s="33" t="n"/>
      <c r="AE85" s="31" t="n"/>
      <c r="AF85" s="30" t="n"/>
      <c r="AG85" s="30" t="n"/>
      <c r="AH85" s="30" t="n"/>
    </row>
    <row r="86">
      <c r="A86" s="34" t="n">
        <v>84</v>
      </c>
      <c r="B86" s="34" t="inlineStr">
        <is>
          <t>Low</t>
        </is>
      </c>
      <c r="C86" s="34" t="n">
        <v>2</v>
      </c>
      <c r="D86" s="35" t="n"/>
      <c r="E86" s="34" t="inlineStr">
        <is>
          <t>NEW</t>
        </is>
      </c>
      <c r="F86" s="34" t="n"/>
      <c r="G86" s="34" t="inlineStr">
        <is>
          <t>Ken Yik</t>
        </is>
      </c>
      <c r="H86" s="34" t="inlineStr">
        <is>
          <t>Ken</t>
        </is>
      </c>
      <c r="I86" s="36" t="n"/>
      <c r="J86" s="34" t="inlineStr">
        <is>
          <t>Male</t>
        </is>
      </c>
      <c r="K86" s="34" t="n">
        <v>22</v>
      </c>
      <c r="L86" s="34" t="inlineStr">
        <is>
          <t>Ex colleague</t>
        </is>
      </c>
      <c r="M86" s="34" t="n">
        <v>1</v>
      </c>
      <c r="N86" s="34" t="n">
        <v>1</v>
      </c>
      <c r="O86" s="34" t="inlineStr">
        <is>
          <t>Aircraft technician</t>
        </is>
      </c>
      <c r="P86" s="34" t="inlineStr">
        <is>
          <t>Unknown</t>
        </is>
      </c>
      <c r="Q86" s="34" t="inlineStr">
        <is>
          <t>Unknown</t>
        </is>
      </c>
      <c r="R86" s="35" t="n"/>
      <c r="S86" s="35" t="n"/>
      <c r="T86" s="34" t="n"/>
      <c r="U86" s="34" t="inlineStr">
        <is>
          <t>Not contacted</t>
        </is>
      </c>
      <c r="V86" s="37" t="n"/>
      <c r="W86" s="37" t="n"/>
      <c r="X86">
        <f>IF($W86="","",IF(DATE(YEAR(TODAY()),MONTH($W86),DAY($W86))&gt;=TODAY(),DATE(YEAR(TODAY()),MONTH($W86),DAY($W86))-TODAY(),DATE(YEAR(TODAY())+1,MONTH($W86),DAY($W86))-TODAY()))</f>
        <v/>
      </c>
      <c r="Y86">
        <f>IF($X86="","",IF($X86&lt;=30,"YES",""))</f>
        <v/>
      </c>
      <c r="Z86" s="34">
        <f>IF($F86="Yes","Champion",IF($AB86&gt;=2,"Advocate",IF($AB86&gt;=1,"Referrer",IF($M86&gt;=4,"High Potential",IF($M86&gt;=3,"Standard","New"))))))</f>
        <v/>
      </c>
      <c r="AA86" s="34" t="inlineStr">
        <is>
          <t>No</t>
        </is>
      </c>
      <c r="AB86" s="34" t="n">
        <v>0</v>
      </c>
      <c r="AC86" s="34" t="n"/>
      <c r="AD86" s="37" t="n"/>
      <c r="AE86" s="35" t="n"/>
      <c r="AF86" s="34" t="n"/>
      <c r="AG86" s="34" t="n"/>
      <c r="AH86" s="34" t="n"/>
    </row>
    <row r="87">
      <c r="A87" s="30" t="n">
        <v>85</v>
      </c>
      <c r="B87" s="30" t="inlineStr">
        <is>
          <t>Low</t>
        </is>
      </c>
      <c r="C87" s="30" t="n">
        <v>2</v>
      </c>
      <c r="D87" s="31" t="n"/>
      <c r="E87" s="30" t="inlineStr">
        <is>
          <t>NEW</t>
        </is>
      </c>
      <c r="F87" s="30" t="n"/>
      <c r="G87" s="30" t="inlineStr">
        <is>
          <t>Kenny leung</t>
        </is>
      </c>
      <c r="H87" s="30" t="inlineStr">
        <is>
          <t>Kenny</t>
        </is>
      </c>
      <c r="I87" s="32" t="n"/>
      <c r="J87" s="30" t="inlineStr">
        <is>
          <t>Male</t>
        </is>
      </c>
      <c r="K87" s="30" t="n">
        <v>25</v>
      </c>
      <c r="L87" s="30" t="inlineStr">
        <is>
          <t>Friend</t>
        </is>
      </c>
      <c r="M87" s="30" t="n">
        <v>1</v>
      </c>
      <c r="N87" s="30" t="n">
        <v>1</v>
      </c>
      <c r="O87" s="30" t="inlineStr">
        <is>
          <t>mu back office</t>
        </is>
      </c>
      <c r="P87" s="30" t="inlineStr">
        <is>
          <t>Unknown</t>
        </is>
      </c>
      <c r="Q87" s="30" t="inlineStr">
        <is>
          <t>Unknown</t>
        </is>
      </c>
      <c r="R87" s="31" t="n"/>
      <c r="S87" s="31" t="n"/>
      <c r="T87" s="30" t="n"/>
      <c r="U87" s="30" t="inlineStr">
        <is>
          <t>Not contacted</t>
        </is>
      </c>
      <c r="V87" s="33" t="n"/>
      <c r="W87" s="33" t="n"/>
      <c r="X87">
        <f>IF($W87="","",IF(DATE(YEAR(TODAY()),MONTH($W87),DAY($W87))&gt;=TODAY(),DATE(YEAR(TODAY()),MONTH($W87),DAY($W87))-TODAY(),DATE(YEAR(TODAY())+1,MONTH($W87),DAY($W87))-TODAY()))</f>
        <v/>
      </c>
      <c r="Y87">
        <f>IF($X87="","",IF($X87&lt;=30,"YES",""))</f>
        <v/>
      </c>
      <c r="Z87" s="30">
        <f>IF($F87="Yes","Champion",IF($AB87&gt;=2,"Advocate",IF($AB87&gt;=1,"Referrer",IF($M87&gt;=4,"High Potential",IF($M87&gt;=3,"Standard","New"))))))</f>
        <v/>
      </c>
      <c r="AA87" s="30" t="inlineStr">
        <is>
          <t>No</t>
        </is>
      </c>
      <c r="AB87" s="30" t="n">
        <v>0</v>
      </c>
      <c r="AC87" s="30" t="n"/>
      <c r="AD87" s="33" t="n"/>
      <c r="AE87" s="31" t="n"/>
      <c r="AF87" s="30" t="n"/>
      <c r="AG87" s="30" t="n"/>
      <c r="AH87" s="30" t="n"/>
    </row>
    <row r="88">
      <c r="A88" s="34" t="n">
        <v>86</v>
      </c>
      <c r="B88" s="34" t="inlineStr">
        <is>
          <t>Low</t>
        </is>
      </c>
      <c r="C88" s="34" t="n">
        <v>2</v>
      </c>
      <c r="D88" s="35" t="n"/>
      <c r="E88" s="34" t="inlineStr">
        <is>
          <t>NEW</t>
        </is>
      </c>
      <c r="F88" s="34" t="n"/>
      <c r="G88" s="34" t="inlineStr">
        <is>
          <t>Lam Ka Ho</t>
        </is>
      </c>
      <c r="H88" s="34" t="inlineStr">
        <is>
          <t>Francis</t>
        </is>
      </c>
      <c r="I88" s="36" t="n"/>
      <c r="J88" s="34" t="inlineStr">
        <is>
          <t>Male</t>
        </is>
      </c>
      <c r="K88" s="34" t="n">
        <v>24</v>
      </c>
      <c r="L88" s="34" t="inlineStr">
        <is>
          <t>Friend</t>
        </is>
      </c>
      <c r="M88" s="34" t="n">
        <v>1</v>
      </c>
      <c r="N88" s="34" t="n">
        <v>1</v>
      </c>
      <c r="O88" s="34" t="inlineStr">
        <is>
          <t>marketing</t>
        </is>
      </c>
      <c r="P88" s="34" t="inlineStr">
        <is>
          <t>unknown</t>
        </is>
      </c>
      <c r="Q88" s="34" t="inlineStr">
        <is>
          <t>unknown</t>
        </is>
      </c>
      <c r="R88" s="35" t="n"/>
      <c r="S88" s="35" t="n"/>
      <c r="T88" s="34" t="n"/>
      <c r="U88" s="34" t="inlineStr">
        <is>
          <t>Not contacted</t>
        </is>
      </c>
      <c r="V88" s="37" t="n"/>
      <c r="W88" s="37" t="n"/>
      <c r="X88">
        <f>IF($W88="","",IF(DATE(YEAR(TODAY()),MONTH($W88),DAY($W88))&gt;=TODAY(),DATE(YEAR(TODAY()),MONTH($W88),DAY($W88))-TODAY(),DATE(YEAR(TODAY())+1,MONTH($W88),DAY($W88))-TODAY()))</f>
        <v/>
      </c>
      <c r="Y88">
        <f>IF($X88="","",IF($X88&lt;=30,"YES",""))</f>
        <v/>
      </c>
      <c r="Z88" s="34">
        <f>IF($F88="Yes","Champion",IF($AB88&gt;=2,"Advocate",IF($AB88&gt;=1,"Referrer",IF($M88&gt;=4,"High Potential",IF($M88&gt;=3,"Standard","New"))))))</f>
        <v/>
      </c>
      <c r="AA88" s="34" t="inlineStr">
        <is>
          <t>No</t>
        </is>
      </c>
      <c r="AB88" s="34" t="n">
        <v>0</v>
      </c>
      <c r="AC88" s="34" t="n"/>
      <c r="AD88" s="37" t="n"/>
      <c r="AE88" s="35" t="n"/>
      <c r="AF88" s="34" t="n"/>
      <c r="AG88" s="34" t="n"/>
      <c r="AH88" s="34" t="n"/>
    </row>
    <row r="89">
      <c r="A89" s="30" t="n">
        <v>87</v>
      </c>
      <c r="B89" s="30" t="inlineStr">
        <is>
          <t>Low</t>
        </is>
      </c>
      <c r="C89" s="30" t="n">
        <v>2</v>
      </c>
      <c r="D89" s="31" t="n"/>
      <c r="E89" s="30" t="inlineStr">
        <is>
          <t>NEW</t>
        </is>
      </c>
      <c r="F89" s="30" t="n"/>
      <c r="G89" s="30" t="inlineStr">
        <is>
          <t>Lee Cheu Yiu emily</t>
        </is>
      </c>
      <c r="H89" s="30" t="inlineStr">
        <is>
          <t>emily</t>
        </is>
      </c>
      <c r="I89" s="32" t="n"/>
      <c r="J89" s="30" t="inlineStr">
        <is>
          <t>Female</t>
        </is>
      </c>
      <c r="K89" s="30" t="n">
        <v>25</v>
      </c>
      <c r="L89" s="30" t="inlineStr">
        <is>
          <t>Friend</t>
        </is>
      </c>
      <c r="M89" s="30" t="n">
        <v>1</v>
      </c>
      <c r="N89" s="30" t="n">
        <v>1</v>
      </c>
      <c r="O89" s="30" t="inlineStr">
        <is>
          <t>Hotel Front office</t>
        </is>
      </c>
      <c r="P89" s="30" t="inlineStr">
        <is>
          <t>unknown</t>
        </is>
      </c>
      <c r="Q89" s="30" t="inlineStr">
        <is>
          <t>$18000</t>
        </is>
      </c>
      <c r="R89" s="31" t="n"/>
      <c r="S89" s="31" t="n"/>
      <c r="T89" s="30" t="n"/>
      <c r="U89" s="30" t="inlineStr">
        <is>
          <t>Not contacted</t>
        </is>
      </c>
      <c r="V89" s="33" t="n"/>
      <c r="W89" s="33" t="n"/>
      <c r="X89">
        <f>IF($W89="","",IF(DATE(YEAR(TODAY()),MONTH($W89),DAY($W89))&gt;=TODAY(),DATE(YEAR(TODAY()),MONTH($W89),DAY($W89))-TODAY(),DATE(YEAR(TODAY())+1,MONTH($W89),DAY($W89))-TODAY()))</f>
        <v/>
      </c>
      <c r="Y89">
        <f>IF($X89="","",IF($X89&lt;=30,"YES",""))</f>
        <v/>
      </c>
      <c r="Z89" s="30">
        <f>IF($F89="Yes","Champion",IF($AB89&gt;=2,"Advocate",IF($AB89&gt;=1,"Referrer",IF($M89&gt;=4,"High Potential",IF($M89&gt;=3,"Standard","New"))))))</f>
        <v/>
      </c>
      <c r="AA89" s="30" t="inlineStr">
        <is>
          <t>No</t>
        </is>
      </c>
      <c r="AB89" s="30" t="n">
        <v>0</v>
      </c>
      <c r="AC89" s="30" t="n"/>
      <c r="AD89" s="33" t="n"/>
      <c r="AE89" s="31" t="n"/>
      <c r="AF89" s="30" t="n"/>
      <c r="AG89" s="30" t="n"/>
      <c r="AH89" s="30" t="n"/>
    </row>
    <row r="90">
      <c r="A90" s="34" t="n">
        <v>88</v>
      </c>
      <c r="B90" s="34" t="inlineStr">
        <is>
          <t>Low</t>
        </is>
      </c>
      <c r="C90" s="34" t="n">
        <v>2</v>
      </c>
      <c r="D90" s="35" t="n"/>
      <c r="E90" s="34" t="inlineStr">
        <is>
          <t>NEW</t>
        </is>
      </c>
      <c r="F90" s="34" t="n"/>
      <c r="G90" s="34" t="inlineStr">
        <is>
          <t>Lee Sum Yuet</t>
        </is>
      </c>
      <c r="H90" s="34" t="inlineStr">
        <is>
          <t>Crystal</t>
        </is>
      </c>
      <c r="I90" s="36" t="n"/>
      <c r="J90" s="34" t="inlineStr">
        <is>
          <t>Female</t>
        </is>
      </c>
      <c r="K90" s="34" t="n"/>
      <c r="L90" s="34" t="inlineStr">
        <is>
          <t>friend</t>
        </is>
      </c>
      <c r="M90" s="34" t="n">
        <v>1</v>
      </c>
      <c r="N90" s="34" t="n">
        <v>1</v>
      </c>
      <c r="O90" s="34" t="inlineStr">
        <is>
          <t>unknwon</t>
        </is>
      </c>
      <c r="P90" s="34" t="inlineStr">
        <is>
          <t>unknown</t>
        </is>
      </c>
      <c r="Q90" s="34" t="inlineStr">
        <is>
          <t>unknown</t>
        </is>
      </c>
      <c r="R90" s="35" t="n"/>
      <c r="S90" s="35" t="n"/>
      <c r="T90" s="34" t="n"/>
      <c r="U90" s="34" t="inlineStr">
        <is>
          <t>Not contacted</t>
        </is>
      </c>
      <c r="V90" s="37" t="n"/>
      <c r="W90" s="37" t="n"/>
      <c r="X90">
        <f>IF($W90="","",IF(DATE(YEAR(TODAY()),MONTH($W90),DAY($W90))&gt;=TODAY(),DATE(YEAR(TODAY()),MONTH($W90),DAY($W90))-TODAY(),DATE(YEAR(TODAY())+1,MONTH($W90),DAY($W90))-TODAY()))</f>
        <v/>
      </c>
      <c r="Y90">
        <f>IF($X90="","",IF($X90&lt;=30,"YES",""))</f>
        <v/>
      </c>
      <c r="Z90" s="34">
        <f>IF($F90="Yes","Champion",IF($AB90&gt;=2,"Advocate",IF($AB90&gt;=1,"Referrer",IF($M90&gt;=4,"High Potential",IF($M90&gt;=3,"Standard","New"))))))</f>
        <v/>
      </c>
      <c r="AA90" s="34" t="inlineStr">
        <is>
          <t>No</t>
        </is>
      </c>
      <c r="AB90" s="34" t="n">
        <v>0</v>
      </c>
      <c r="AC90" s="34" t="n"/>
      <c r="AD90" s="37" t="n"/>
      <c r="AE90" s="35" t="n"/>
      <c r="AF90" s="34" t="n"/>
      <c r="AG90" s="34" t="n"/>
      <c r="AH90" s="34" t="n"/>
    </row>
    <row r="91">
      <c r="A91" s="30" t="n">
        <v>89</v>
      </c>
      <c r="B91" s="30" t="inlineStr">
        <is>
          <t>Low</t>
        </is>
      </c>
      <c r="C91" s="30" t="n">
        <v>2</v>
      </c>
      <c r="D91" s="31" t="n"/>
      <c r="E91" s="30" t="inlineStr">
        <is>
          <t>NEW</t>
        </is>
      </c>
      <c r="F91" s="30" t="n"/>
      <c r="G91" s="30" t="inlineStr">
        <is>
          <t>Leung Yak Lam</t>
        </is>
      </c>
      <c r="H91" s="30" t="inlineStr">
        <is>
          <t>Yan</t>
        </is>
      </c>
      <c r="I91" s="32" t="n"/>
      <c r="J91" s="30" t="inlineStr">
        <is>
          <t>Female</t>
        </is>
      </c>
      <c r="K91" s="30" t="n">
        <v>23</v>
      </c>
      <c r="L91" s="30" t="inlineStr">
        <is>
          <t>Friend</t>
        </is>
      </c>
      <c r="M91" s="30" t="n">
        <v>1</v>
      </c>
      <c r="N91" s="30" t="n">
        <v>1</v>
      </c>
      <c r="O91" s="30" t="inlineStr">
        <is>
          <t>Nurse student</t>
        </is>
      </c>
      <c r="P91" s="30" t="inlineStr">
        <is>
          <t>None</t>
        </is>
      </c>
      <c r="Q91" s="30" t="inlineStr">
        <is>
          <t>None</t>
        </is>
      </c>
      <c r="R91" s="31" t="n"/>
      <c r="S91" s="31" t="n"/>
      <c r="T91" s="30" t="n"/>
      <c r="U91" s="30" t="inlineStr">
        <is>
          <t>Not contacted</t>
        </is>
      </c>
      <c r="V91" s="33" t="n"/>
      <c r="W91" s="33" t="n"/>
      <c r="X91">
        <f>IF($W91="","",IF(DATE(YEAR(TODAY()),MONTH($W91),DAY($W91))&gt;=TODAY(),DATE(YEAR(TODAY()),MONTH($W91),DAY($W91))-TODAY(),DATE(YEAR(TODAY())+1,MONTH($W91),DAY($W91))-TODAY()))</f>
        <v/>
      </c>
      <c r="Y91">
        <f>IF($X91="","",IF($X91&lt;=30,"YES",""))</f>
        <v/>
      </c>
      <c r="Z91" s="30">
        <f>IF($F91="Yes","Champion",IF($AB91&gt;=2,"Advocate",IF($AB91&gt;=1,"Referrer",IF($M91&gt;=4,"High Potential",IF($M91&gt;=3,"Standard","New"))))))</f>
        <v/>
      </c>
      <c r="AA91" s="30" t="inlineStr">
        <is>
          <t>No</t>
        </is>
      </c>
      <c r="AB91" s="30" t="n">
        <v>0</v>
      </c>
      <c r="AC91" s="30" t="n"/>
      <c r="AD91" s="33" t="n"/>
      <c r="AE91" s="31" t="n"/>
      <c r="AF91" s="30" t="n"/>
      <c r="AG91" s="30" t="n"/>
      <c r="AH91" s="30" t="n"/>
    </row>
    <row r="92">
      <c r="A92" s="34" t="n">
        <v>90</v>
      </c>
      <c r="B92" s="34" t="inlineStr">
        <is>
          <t>Low</t>
        </is>
      </c>
      <c r="C92" s="34" t="n">
        <v>2</v>
      </c>
      <c r="D92" s="35" t="n"/>
      <c r="E92" s="34" t="inlineStr">
        <is>
          <t>NEW</t>
        </is>
      </c>
      <c r="F92" s="34" t="n"/>
      <c r="G92" s="34" t="inlineStr">
        <is>
          <t>Naomil</t>
        </is>
      </c>
      <c r="H92" s="34" t="inlineStr">
        <is>
          <t>Naomil</t>
        </is>
      </c>
      <c r="I92" s="36" t="n"/>
      <c r="J92" s="34" t="inlineStr">
        <is>
          <t>Female</t>
        </is>
      </c>
      <c r="K92" s="34" t="n">
        <v>20</v>
      </c>
      <c r="L92" s="34" t="inlineStr">
        <is>
          <t>Ex colleague</t>
        </is>
      </c>
      <c r="M92" s="34" t="n">
        <v>1</v>
      </c>
      <c r="N92" s="34" t="n">
        <v>1</v>
      </c>
      <c r="O92" s="34" t="inlineStr">
        <is>
          <t>student</t>
        </is>
      </c>
      <c r="P92" s="34" t="inlineStr">
        <is>
          <t>unknown</t>
        </is>
      </c>
      <c r="Q92" s="34" t="inlineStr">
        <is>
          <t>unknown</t>
        </is>
      </c>
      <c r="R92" s="35" t="n"/>
      <c r="S92" s="35" t="n"/>
      <c r="T92" s="34" t="n"/>
      <c r="U92" s="34" t="inlineStr">
        <is>
          <t>Not contacted</t>
        </is>
      </c>
      <c r="V92" s="37" t="n"/>
      <c r="W92" s="37" t="n"/>
      <c r="X92">
        <f>IF($W92="","",IF(DATE(YEAR(TODAY()),MONTH($W92),DAY($W92))&gt;=TODAY(),DATE(YEAR(TODAY()),MONTH($W92),DAY($W92))-TODAY(),DATE(YEAR(TODAY())+1,MONTH($W92),DAY($W92))-TODAY()))</f>
        <v/>
      </c>
      <c r="Y92">
        <f>IF($X92="","",IF($X92&lt;=30,"YES",""))</f>
        <v/>
      </c>
      <c r="Z92" s="34">
        <f>IF($F92="Yes","Champion",IF($AB92&gt;=2,"Advocate",IF($AB92&gt;=1,"Referrer",IF($M92&gt;=4,"High Potential",IF($M92&gt;=3,"Standard","New"))))))</f>
        <v/>
      </c>
      <c r="AA92" s="34" t="inlineStr">
        <is>
          <t>No</t>
        </is>
      </c>
      <c r="AB92" s="34" t="n">
        <v>0</v>
      </c>
      <c r="AC92" s="34" t="n"/>
      <c r="AD92" s="37" t="n"/>
      <c r="AE92" s="35" t="n"/>
      <c r="AF92" s="34" t="n"/>
      <c r="AG92" s="34" t="n"/>
      <c r="AH92" s="34" t="n"/>
    </row>
    <row r="93">
      <c r="A93" s="30" t="n">
        <v>91</v>
      </c>
      <c r="B93" s="30" t="inlineStr">
        <is>
          <t>Low</t>
        </is>
      </c>
      <c r="C93" s="30" t="n">
        <v>2</v>
      </c>
      <c r="D93" s="31" t="n"/>
      <c r="E93" s="30" t="inlineStr">
        <is>
          <t>NEW</t>
        </is>
      </c>
      <c r="F93" s="30" t="n"/>
      <c r="G93" s="30" t="inlineStr">
        <is>
          <t>Nathan Tsang</t>
        </is>
      </c>
      <c r="H93" s="30" t="inlineStr">
        <is>
          <t>Nathan</t>
        </is>
      </c>
      <c r="I93" s="32" t="n"/>
      <c r="J93" s="30" t="inlineStr">
        <is>
          <t>Male</t>
        </is>
      </c>
      <c r="K93" s="30" t="n">
        <v>23</v>
      </c>
      <c r="L93" s="30" t="inlineStr">
        <is>
          <t>Friend</t>
        </is>
      </c>
      <c r="M93" s="30" t="n">
        <v>1</v>
      </c>
      <c r="N93" s="30" t="n">
        <v>1</v>
      </c>
      <c r="O93" s="30" t="inlineStr">
        <is>
          <t>Student</t>
        </is>
      </c>
      <c r="P93" s="30" t="inlineStr">
        <is>
          <t>Unknown</t>
        </is>
      </c>
      <c r="Q93" s="30" t="inlineStr">
        <is>
          <t>Unknown</t>
        </is>
      </c>
      <c r="R93" s="31" t="n"/>
      <c r="S93" s="31" t="n"/>
      <c r="T93" s="30" t="n"/>
      <c r="U93" s="30" t="inlineStr">
        <is>
          <t>Not contacted</t>
        </is>
      </c>
      <c r="V93" s="33" t="n"/>
      <c r="W93" s="33" t="n"/>
      <c r="X93">
        <f>IF($W93="","",IF(DATE(YEAR(TODAY()),MONTH($W93),DAY($W93))&gt;=TODAY(),DATE(YEAR(TODAY()),MONTH($W93),DAY($W93))-TODAY(),DATE(YEAR(TODAY())+1,MONTH($W93),DAY($W93))-TODAY()))</f>
        <v/>
      </c>
      <c r="Y93">
        <f>IF($X93="","",IF($X93&lt;=30,"YES",""))</f>
        <v/>
      </c>
      <c r="Z93" s="30">
        <f>IF($F93="Yes","Champion",IF($AB93&gt;=2,"Advocate",IF($AB93&gt;=1,"Referrer",IF($M93&gt;=4,"High Potential",IF($M93&gt;=3,"Standard","New"))))))</f>
        <v/>
      </c>
      <c r="AA93" s="30" t="inlineStr">
        <is>
          <t>No</t>
        </is>
      </c>
      <c r="AB93" s="30" t="n">
        <v>0</v>
      </c>
      <c r="AC93" s="30" t="n"/>
      <c r="AD93" s="33" t="n"/>
      <c r="AE93" s="31" t="n"/>
      <c r="AF93" s="30" t="n"/>
      <c r="AG93" s="30" t="n"/>
      <c r="AH93" s="30" t="n"/>
    </row>
    <row r="94">
      <c r="A94" s="34" t="n">
        <v>92</v>
      </c>
      <c r="B94" s="34" t="inlineStr">
        <is>
          <t>Low</t>
        </is>
      </c>
      <c r="C94" s="34" t="n">
        <v>2</v>
      </c>
      <c r="D94" s="35" t="n"/>
      <c r="E94" s="34" t="inlineStr">
        <is>
          <t>NEW</t>
        </is>
      </c>
      <c r="F94" s="34" t="n"/>
      <c r="G94" s="34" t="inlineStr">
        <is>
          <t>Peggy choi</t>
        </is>
      </c>
      <c r="H94" s="34" t="inlineStr">
        <is>
          <t>Peggy</t>
        </is>
      </c>
      <c r="I94" s="36" t="n"/>
      <c r="J94" s="34" t="inlineStr">
        <is>
          <t>Female</t>
        </is>
      </c>
      <c r="K94" s="34" t="n">
        <v>24</v>
      </c>
      <c r="L94" s="34" t="inlineStr">
        <is>
          <t>Friend</t>
        </is>
      </c>
      <c r="M94" s="34" t="n">
        <v>1</v>
      </c>
      <c r="N94" s="34" t="n">
        <v>1</v>
      </c>
      <c r="O94" s="34" t="inlineStr">
        <is>
          <t>Unknown</t>
        </is>
      </c>
      <c r="P94" s="34" t="inlineStr">
        <is>
          <t>Unknown</t>
        </is>
      </c>
      <c r="Q94" s="34" t="inlineStr">
        <is>
          <t>Unknown</t>
        </is>
      </c>
      <c r="R94" s="35" t="n"/>
      <c r="S94" s="35" t="n"/>
      <c r="T94" s="34" t="n"/>
      <c r="U94" s="34" t="inlineStr">
        <is>
          <t>Not contacted</t>
        </is>
      </c>
      <c r="V94" s="37" t="n"/>
      <c r="W94" s="37" t="n"/>
      <c r="X94">
        <f>IF($W94="","",IF(DATE(YEAR(TODAY()),MONTH($W94),DAY($W94))&gt;=TODAY(),DATE(YEAR(TODAY()),MONTH($W94),DAY($W94))-TODAY(),DATE(YEAR(TODAY())+1,MONTH($W94),DAY($W94))-TODAY()))</f>
        <v/>
      </c>
      <c r="Y94">
        <f>IF($X94="","",IF($X94&lt;=30,"YES",""))</f>
        <v/>
      </c>
      <c r="Z94" s="34">
        <f>IF($F94="Yes","Champion",IF($AB94&gt;=2,"Advocate",IF($AB94&gt;=1,"Referrer",IF($M94&gt;=4,"High Potential",IF($M94&gt;=3,"Standard","New"))))))</f>
        <v/>
      </c>
      <c r="AA94" s="34" t="inlineStr">
        <is>
          <t>No</t>
        </is>
      </c>
      <c r="AB94" s="34" t="n">
        <v>0</v>
      </c>
      <c r="AC94" s="34" t="n"/>
      <c r="AD94" s="37" t="n"/>
      <c r="AE94" s="35" t="n"/>
      <c r="AF94" s="34" t="n"/>
      <c r="AG94" s="34" t="n"/>
      <c r="AH94" s="34" t="n"/>
    </row>
    <row r="95">
      <c r="A95" s="30" t="n">
        <v>93</v>
      </c>
      <c r="B95" s="30" t="inlineStr">
        <is>
          <t>Low</t>
        </is>
      </c>
      <c r="C95" s="30" t="n">
        <v>2</v>
      </c>
      <c r="D95" s="31" t="n"/>
      <c r="E95" s="30" t="inlineStr">
        <is>
          <t>NEW</t>
        </is>
      </c>
      <c r="F95" s="30" t="n"/>
      <c r="G95" s="30" t="inlineStr">
        <is>
          <t>Sherlock</t>
        </is>
      </c>
      <c r="H95" s="30" t="inlineStr">
        <is>
          <t>unknown</t>
        </is>
      </c>
      <c r="I95" s="32" t="n"/>
      <c r="J95" s="30" t="inlineStr">
        <is>
          <t>Male</t>
        </is>
      </c>
      <c r="K95" s="30" t="n">
        <v>23</v>
      </c>
      <c r="L95" s="30" t="inlineStr">
        <is>
          <t>Friend</t>
        </is>
      </c>
      <c r="M95" s="30" t="n">
        <v>1</v>
      </c>
      <c r="N95" s="30" t="n">
        <v>1</v>
      </c>
      <c r="O95" s="30" t="inlineStr">
        <is>
          <t>unknown</t>
        </is>
      </c>
      <c r="P95" s="30" t="inlineStr">
        <is>
          <t>unknown</t>
        </is>
      </c>
      <c r="Q95" s="30" t="inlineStr">
        <is>
          <t>unknown</t>
        </is>
      </c>
      <c r="R95" s="31" t="n"/>
      <c r="S95" s="31" t="n"/>
      <c r="T95" s="30" t="n"/>
      <c r="U95" s="30" t="inlineStr">
        <is>
          <t>Not contacted</t>
        </is>
      </c>
      <c r="V95" s="33" t="n"/>
      <c r="W95" s="33" t="n"/>
      <c r="X95">
        <f>IF($W95="","",IF(DATE(YEAR(TODAY()),MONTH($W95),DAY($W95))&gt;=TODAY(),DATE(YEAR(TODAY()),MONTH($W95),DAY($W95))-TODAY(),DATE(YEAR(TODAY())+1,MONTH($W95),DAY($W95))-TODAY()))</f>
        <v/>
      </c>
      <c r="Y95">
        <f>IF($X95="","",IF($X95&lt;=30,"YES",""))</f>
        <v/>
      </c>
      <c r="Z95" s="30">
        <f>IF($F95="Yes","Champion",IF($AB95&gt;=2,"Advocate",IF($AB95&gt;=1,"Referrer",IF($M95&gt;=4,"High Potential",IF($M95&gt;=3,"Standard","New"))))))</f>
        <v/>
      </c>
      <c r="AA95" s="30" t="inlineStr">
        <is>
          <t>No</t>
        </is>
      </c>
      <c r="AB95" s="30" t="n">
        <v>0</v>
      </c>
      <c r="AC95" s="30" t="n"/>
      <c r="AD95" s="33" t="n"/>
      <c r="AE95" s="31" t="n"/>
      <c r="AF95" s="30" t="n"/>
      <c r="AG95" s="30" t="n"/>
      <c r="AH95" s="30" t="n"/>
    </row>
    <row r="96">
      <c r="A96" s="34" t="n">
        <v>94</v>
      </c>
      <c r="B96" s="34" t="inlineStr">
        <is>
          <t>Low</t>
        </is>
      </c>
      <c r="C96" s="34" t="n">
        <v>2</v>
      </c>
      <c r="D96" s="35" t="n"/>
      <c r="E96" s="34" t="inlineStr">
        <is>
          <t>NEW</t>
        </is>
      </c>
      <c r="F96" s="34" t="n"/>
      <c r="G96" s="34" t="inlineStr">
        <is>
          <t>Sylvia Kan</t>
        </is>
      </c>
      <c r="H96" s="34" t="inlineStr">
        <is>
          <t>Sylvia</t>
        </is>
      </c>
      <c r="I96" s="36" t="n"/>
      <c r="J96" s="34" t="inlineStr">
        <is>
          <t>Female</t>
        </is>
      </c>
      <c r="K96" s="34" t="n">
        <v>24</v>
      </c>
      <c r="L96" s="34" t="inlineStr">
        <is>
          <t>Friend</t>
        </is>
      </c>
      <c r="M96" s="34" t="n">
        <v>1</v>
      </c>
      <c r="N96" s="34" t="n">
        <v>1</v>
      </c>
      <c r="O96" s="34" t="inlineStr">
        <is>
          <t>Unknown</t>
        </is>
      </c>
      <c r="P96" s="34" t="inlineStr">
        <is>
          <t>Unknown</t>
        </is>
      </c>
      <c r="Q96" s="34" t="inlineStr">
        <is>
          <t>Unknown</t>
        </is>
      </c>
      <c r="R96" s="35" t="n"/>
      <c r="S96" s="35" t="n"/>
      <c r="T96" s="34" t="n"/>
      <c r="U96" s="34" t="inlineStr">
        <is>
          <t>Not contacted</t>
        </is>
      </c>
      <c r="V96" s="37" t="n"/>
      <c r="W96" s="37" t="n"/>
      <c r="X96">
        <f>IF($W96="","",IF(DATE(YEAR(TODAY()),MONTH($W96),DAY($W96))&gt;=TODAY(),DATE(YEAR(TODAY()),MONTH($W96),DAY($W96))-TODAY(),DATE(YEAR(TODAY())+1,MONTH($W96),DAY($W96))-TODAY()))</f>
        <v/>
      </c>
      <c r="Y96">
        <f>IF($X96="","",IF($X96&lt;=30,"YES",""))</f>
        <v/>
      </c>
      <c r="Z96" s="34">
        <f>IF($F96="Yes","Champion",IF($AB96&gt;=2,"Advocate",IF($AB96&gt;=1,"Referrer",IF($M96&gt;=4,"High Potential",IF($M96&gt;=3,"Standard","New"))))))</f>
        <v/>
      </c>
      <c r="AA96" s="34" t="inlineStr">
        <is>
          <t>No</t>
        </is>
      </c>
      <c r="AB96" s="34" t="n">
        <v>0</v>
      </c>
      <c r="AC96" s="34" t="n"/>
      <c r="AD96" s="37" t="n"/>
      <c r="AE96" s="35" t="n"/>
      <c r="AF96" s="34" t="n"/>
      <c r="AG96" s="34" t="n"/>
      <c r="AH96" s="34" t="n"/>
    </row>
    <row r="97">
      <c r="A97" s="30" t="n">
        <v>95</v>
      </c>
      <c r="B97" s="30" t="inlineStr">
        <is>
          <t>Low</t>
        </is>
      </c>
      <c r="C97" s="30" t="n">
        <v>2</v>
      </c>
      <c r="D97" s="31" t="n"/>
      <c r="E97" s="30" t="inlineStr">
        <is>
          <t>NEW</t>
        </is>
      </c>
      <c r="F97" s="30" t="n"/>
      <c r="G97" s="30" t="inlineStr">
        <is>
          <t>TJ</t>
        </is>
      </c>
      <c r="H97" s="30" t="inlineStr">
        <is>
          <t>TJ</t>
        </is>
      </c>
      <c r="I97" s="32" t="n"/>
      <c r="J97" s="30" t="inlineStr">
        <is>
          <t>Male</t>
        </is>
      </c>
      <c r="K97" s="30" t="n">
        <v>24</v>
      </c>
      <c r="L97" s="30" t="inlineStr">
        <is>
          <t>Friend</t>
        </is>
      </c>
      <c r="M97" s="30" t="n">
        <v>1</v>
      </c>
      <c r="N97" s="30" t="n">
        <v>1</v>
      </c>
      <c r="O97" s="30" t="inlineStr">
        <is>
          <t>ground attendant</t>
        </is>
      </c>
      <c r="P97" s="30" t="inlineStr">
        <is>
          <t>unknown</t>
        </is>
      </c>
      <c r="Q97" s="30" t="inlineStr">
        <is>
          <t>unknown</t>
        </is>
      </c>
      <c r="R97" s="31" t="n"/>
      <c r="S97" s="31" t="n"/>
      <c r="T97" s="30" t="n"/>
      <c r="U97" s="30" t="inlineStr">
        <is>
          <t>Not contacted</t>
        </is>
      </c>
      <c r="V97" s="33" t="n"/>
      <c r="W97" s="33" t="n"/>
      <c r="X97">
        <f>IF($W97="","",IF(DATE(YEAR(TODAY()),MONTH($W97),DAY($W97))&gt;=TODAY(),DATE(YEAR(TODAY()),MONTH($W97),DAY($W97))-TODAY(),DATE(YEAR(TODAY())+1,MONTH($W97),DAY($W97))-TODAY()))</f>
        <v/>
      </c>
      <c r="Y97">
        <f>IF($X97="","",IF($X97&lt;=30,"YES",""))</f>
        <v/>
      </c>
      <c r="Z97" s="30">
        <f>IF($F97="Yes","Champion",IF($AB97&gt;=2,"Advocate",IF($AB97&gt;=1,"Referrer",IF($M97&gt;=4,"High Potential",IF($M97&gt;=3,"Standard","New"))))))</f>
        <v/>
      </c>
      <c r="AA97" s="30" t="inlineStr">
        <is>
          <t>No</t>
        </is>
      </c>
      <c r="AB97" s="30" t="n">
        <v>0</v>
      </c>
      <c r="AC97" s="30" t="n"/>
      <c r="AD97" s="33" t="n"/>
      <c r="AE97" s="31" t="n"/>
      <c r="AF97" s="30" t="n"/>
      <c r="AG97" s="30" t="n"/>
      <c r="AH97" s="30" t="n"/>
    </row>
    <row r="98">
      <c r="A98" s="34" t="n">
        <v>96</v>
      </c>
      <c r="B98" s="34" t="inlineStr">
        <is>
          <t>Low</t>
        </is>
      </c>
      <c r="C98" s="34" t="n">
        <v>2</v>
      </c>
      <c r="D98" s="35" t="n"/>
      <c r="E98" s="34" t="inlineStr">
        <is>
          <t>NEW</t>
        </is>
      </c>
      <c r="F98" s="34" t="n"/>
      <c r="G98" s="34" t="inlineStr">
        <is>
          <t>Tat</t>
        </is>
      </c>
      <c r="H98" s="34" t="inlineStr">
        <is>
          <t>Tat</t>
        </is>
      </c>
      <c r="I98" s="36" t="n"/>
      <c r="J98" s="34" t="inlineStr">
        <is>
          <t>Male</t>
        </is>
      </c>
      <c r="K98" s="34" t="n">
        <v>23</v>
      </c>
      <c r="L98" s="34" t="inlineStr">
        <is>
          <t>Friend</t>
        </is>
      </c>
      <c r="M98" s="34" t="n">
        <v>1</v>
      </c>
      <c r="N98" s="34" t="n">
        <v>1</v>
      </c>
      <c r="O98" s="34" t="inlineStr">
        <is>
          <t>viu Tv sport host</t>
        </is>
      </c>
      <c r="P98" s="34" t="inlineStr">
        <is>
          <t>Unknown</t>
        </is>
      </c>
      <c r="Q98" s="34" t="inlineStr">
        <is>
          <t>Unknown</t>
        </is>
      </c>
      <c r="R98" s="35" t="n"/>
      <c r="S98" s="35" t="n"/>
      <c r="T98" s="34" t="n"/>
      <c r="U98" s="34" t="inlineStr">
        <is>
          <t>Not contacted</t>
        </is>
      </c>
      <c r="V98" s="37" t="n"/>
      <c r="W98" s="37" t="n"/>
      <c r="X98">
        <f>IF($W98="","",IF(DATE(YEAR(TODAY()),MONTH($W98),DAY($W98))&gt;=TODAY(),DATE(YEAR(TODAY()),MONTH($W98),DAY($W98))-TODAY(),DATE(YEAR(TODAY())+1,MONTH($W98),DAY($W98))-TODAY()))</f>
        <v/>
      </c>
      <c r="Y98">
        <f>IF($X98="","",IF($X98&lt;=30,"YES",""))</f>
        <v/>
      </c>
      <c r="Z98" s="34">
        <f>IF($F98="Yes","Champion",IF($AB98&gt;=2,"Advocate",IF($AB98&gt;=1,"Referrer",IF($M98&gt;=4,"High Potential",IF($M98&gt;=3,"Standard","New"))))))</f>
        <v/>
      </c>
      <c r="AA98" s="34" t="inlineStr">
        <is>
          <t>No</t>
        </is>
      </c>
      <c r="AB98" s="34" t="n">
        <v>0</v>
      </c>
      <c r="AC98" s="34" t="n"/>
      <c r="AD98" s="37" t="n"/>
      <c r="AE98" s="35" t="n"/>
      <c r="AF98" s="34" t="n"/>
      <c r="AG98" s="34" t="n"/>
      <c r="AH98" s="34" t="n"/>
    </row>
    <row r="99">
      <c r="A99" s="30" t="n">
        <v>97</v>
      </c>
      <c r="B99" s="30" t="inlineStr">
        <is>
          <t>Low</t>
        </is>
      </c>
      <c r="C99" s="30" t="n">
        <v>2</v>
      </c>
      <c r="D99" s="31" t="n"/>
      <c r="E99" s="30" t="inlineStr">
        <is>
          <t>NEW</t>
        </is>
      </c>
      <c r="F99" s="30" t="n"/>
      <c r="G99" s="30" t="inlineStr">
        <is>
          <t>Timmy Kon</t>
        </is>
      </c>
      <c r="H99" s="30" t="inlineStr">
        <is>
          <t>Timmy</t>
        </is>
      </c>
      <c r="I99" s="32" t="n"/>
      <c r="J99" s="30" t="inlineStr">
        <is>
          <t>Male</t>
        </is>
      </c>
      <c r="K99" s="30" t="n">
        <v>23</v>
      </c>
      <c r="L99" s="30" t="inlineStr">
        <is>
          <t>Friend</t>
        </is>
      </c>
      <c r="M99" s="30" t="n">
        <v>1</v>
      </c>
      <c r="N99" s="30" t="n">
        <v>1</v>
      </c>
      <c r="O99" s="30" t="inlineStr">
        <is>
          <t>Unknown</t>
        </is>
      </c>
      <c r="P99" s="30" t="inlineStr">
        <is>
          <t>Unknown</t>
        </is>
      </c>
      <c r="Q99" s="30" t="inlineStr">
        <is>
          <t>Unknown</t>
        </is>
      </c>
      <c r="R99" s="31" t="n"/>
      <c r="S99" s="31" t="n"/>
      <c r="T99" s="30" t="n"/>
      <c r="U99" s="30" t="inlineStr">
        <is>
          <t>Not contacted</t>
        </is>
      </c>
      <c r="V99" s="33" t="n"/>
      <c r="W99" s="33" t="n"/>
      <c r="X99">
        <f>IF($W99="","",IF(DATE(YEAR(TODAY()),MONTH($W99),DAY($W99))&gt;=TODAY(),DATE(YEAR(TODAY()),MONTH($W99),DAY($W99))-TODAY(),DATE(YEAR(TODAY())+1,MONTH($W99),DAY($W99))-TODAY()))</f>
        <v/>
      </c>
      <c r="Y99">
        <f>IF($X99="","",IF($X99&lt;=30,"YES",""))</f>
        <v/>
      </c>
      <c r="Z99" s="30">
        <f>IF($F99="Yes","Champion",IF($AB99&gt;=2,"Advocate",IF($AB99&gt;=1,"Referrer",IF($M99&gt;=4,"High Potential",IF($M99&gt;=3,"Standard","New"))))))</f>
        <v/>
      </c>
      <c r="AA99" s="30" t="inlineStr">
        <is>
          <t>No</t>
        </is>
      </c>
      <c r="AB99" s="30" t="n">
        <v>0</v>
      </c>
      <c r="AC99" s="30" t="n"/>
      <c r="AD99" s="33" t="n"/>
      <c r="AE99" s="31" t="n"/>
      <c r="AF99" s="30" t="n"/>
      <c r="AG99" s="30" t="n"/>
      <c r="AH99" s="30" t="n"/>
    </row>
    <row r="100">
      <c r="A100" s="34" t="n">
        <v>98</v>
      </c>
      <c r="B100" s="34" t="inlineStr">
        <is>
          <t>Low</t>
        </is>
      </c>
      <c r="C100" s="34" t="n">
        <v>2</v>
      </c>
      <c r="D100" s="35" t="n"/>
      <c r="E100" s="34" t="inlineStr">
        <is>
          <t>NEW</t>
        </is>
      </c>
      <c r="F100" s="34" t="n"/>
      <c r="G100" s="34" t="inlineStr">
        <is>
          <t>ToTo</t>
        </is>
      </c>
      <c r="H100" s="34" t="inlineStr">
        <is>
          <t>ToTo</t>
        </is>
      </c>
      <c r="I100" s="36" t="n"/>
      <c r="J100" s="34" t="inlineStr">
        <is>
          <t>Male</t>
        </is>
      </c>
      <c r="K100" s="34" t="n">
        <v>22</v>
      </c>
      <c r="L100" s="34" t="inlineStr">
        <is>
          <t>Friend</t>
        </is>
      </c>
      <c r="M100" s="34" t="n">
        <v>1</v>
      </c>
      <c r="N100" s="34" t="n">
        <v>1</v>
      </c>
      <c r="O100" s="34" t="inlineStr">
        <is>
          <t>student</t>
        </is>
      </c>
      <c r="P100" s="34" t="inlineStr">
        <is>
          <t>Unknown</t>
        </is>
      </c>
      <c r="Q100" s="34" t="inlineStr">
        <is>
          <t>Unknown</t>
        </is>
      </c>
      <c r="R100" s="35" t="n"/>
      <c r="S100" s="35" t="n"/>
      <c r="T100" s="34" t="n"/>
      <c r="U100" s="34" t="inlineStr">
        <is>
          <t>Not contacted</t>
        </is>
      </c>
      <c r="V100" s="37" t="n"/>
      <c r="W100" s="37" t="n"/>
      <c r="X100">
        <f>IF($W100="","",IF(DATE(YEAR(TODAY()),MONTH($W100),DAY($W100))&gt;=TODAY(),DATE(YEAR(TODAY()),MONTH($W100),DAY($W100))-TODAY(),DATE(YEAR(TODAY())+1,MONTH($W100),DAY($W100))-TODAY()))</f>
        <v/>
      </c>
      <c r="Y100">
        <f>IF($X100="","",IF($X100&lt;=30,"YES",""))</f>
        <v/>
      </c>
      <c r="Z100" s="34">
        <f>IF($F100="Yes","Champion",IF($AB100&gt;=2,"Advocate",IF($AB100&gt;=1,"Referrer",IF($M100&gt;=4,"High Potential",IF($M100&gt;=3,"Standard","New"))))))</f>
        <v/>
      </c>
      <c r="AA100" s="34" t="inlineStr">
        <is>
          <t>No</t>
        </is>
      </c>
      <c r="AB100" s="34" t="n">
        <v>0</v>
      </c>
      <c r="AC100" s="34" t="n"/>
      <c r="AD100" s="37" t="n"/>
      <c r="AE100" s="35" t="n"/>
      <c r="AF100" s="34" t="n"/>
      <c r="AG100" s="34" t="n"/>
      <c r="AH100" s="34" t="n"/>
    </row>
    <row r="101">
      <c r="A101" s="30" t="n">
        <v>99</v>
      </c>
      <c r="B101" s="30" t="inlineStr">
        <is>
          <t>Low</t>
        </is>
      </c>
      <c r="C101" s="30" t="n">
        <v>2</v>
      </c>
      <c r="D101" s="31" t="n"/>
      <c r="E101" s="30" t="inlineStr">
        <is>
          <t>NEW</t>
        </is>
      </c>
      <c r="F101" s="30" t="n"/>
      <c r="G101" s="30" t="inlineStr">
        <is>
          <t>Viko</t>
        </is>
      </c>
      <c r="H101" s="30" t="inlineStr">
        <is>
          <t>Viko</t>
        </is>
      </c>
      <c r="I101" s="32" t="n"/>
      <c r="J101" s="30" t="inlineStr">
        <is>
          <t>Female</t>
        </is>
      </c>
      <c r="K101" s="30" t="n">
        <v>26</v>
      </c>
      <c r="L101" s="30" t="inlineStr">
        <is>
          <t>Ex colleague</t>
        </is>
      </c>
      <c r="M101" s="30" t="n">
        <v>1</v>
      </c>
      <c r="N101" s="30" t="n">
        <v>1</v>
      </c>
      <c r="O101" s="30" t="inlineStr">
        <is>
          <t>Cmb branch arm</t>
        </is>
      </c>
      <c r="P101" s="30" t="inlineStr">
        <is>
          <t>Sheung Shui</t>
        </is>
      </c>
      <c r="Q101" s="30" t="inlineStr">
        <is>
          <t>unknown</t>
        </is>
      </c>
      <c r="R101" s="31" t="n"/>
      <c r="S101" s="31" t="n"/>
      <c r="T101" s="30" t="n"/>
      <c r="U101" s="30" t="inlineStr">
        <is>
          <t>Not contacted</t>
        </is>
      </c>
      <c r="V101" s="33" t="n"/>
      <c r="W101" s="33" t="n"/>
      <c r="X101">
        <f>IF($W101="","",IF(DATE(YEAR(TODAY()),MONTH($W101),DAY($W101))&gt;=TODAY(),DATE(YEAR(TODAY()),MONTH($W101),DAY($W101))-TODAY(),DATE(YEAR(TODAY())+1,MONTH($W101),DAY($W101))-TODAY()))</f>
        <v/>
      </c>
      <c r="Y101">
        <f>IF($X101="","",IF($X101&lt;=30,"YES",""))</f>
        <v/>
      </c>
      <c r="Z101" s="30">
        <f>IF($F101="Yes","Champion",IF($AB101&gt;=2,"Advocate",IF($AB101&gt;=1,"Referrer",IF($M101&gt;=4,"High Potential",IF($M101&gt;=3,"Standard","New"))))))</f>
        <v/>
      </c>
      <c r="AA101" s="30" t="inlineStr">
        <is>
          <t>No</t>
        </is>
      </c>
      <c r="AB101" s="30" t="n">
        <v>0</v>
      </c>
      <c r="AC101" s="30" t="n"/>
      <c r="AD101" s="33" t="n"/>
      <c r="AE101" s="31" t="n"/>
      <c r="AF101" s="30" t="n"/>
      <c r="AG101" s="30" t="n"/>
      <c r="AH101" s="30" t="n"/>
    </row>
    <row r="102">
      <c r="A102" s="34" t="n">
        <v>100</v>
      </c>
      <c r="B102" s="34" t="inlineStr">
        <is>
          <t>Low</t>
        </is>
      </c>
      <c r="C102" s="34" t="n">
        <v>2</v>
      </c>
      <c r="D102" s="35" t="n"/>
      <c r="E102" s="34" t="inlineStr">
        <is>
          <t>NEW</t>
        </is>
      </c>
      <c r="F102" s="34" t="n"/>
      <c r="G102" s="34" t="inlineStr">
        <is>
          <t>Waye</t>
        </is>
      </c>
      <c r="H102" s="34" t="inlineStr">
        <is>
          <t>Waye</t>
        </is>
      </c>
      <c r="I102" s="36" t="n"/>
      <c r="J102" s="34" t="inlineStr">
        <is>
          <t>Male</t>
        </is>
      </c>
      <c r="K102" s="34" t="n">
        <v>26</v>
      </c>
      <c r="L102" s="34" t="inlineStr">
        <is>
          <t>Ex colleague</t>
        </is>
      </c>
      <c r="M102" s="34" t="n">
        <v>1</v>
      </c>
      <c r="N102" s="34" t="n">
        <v>1</v>
      </c>
      <c r="O102" s="34" t="inlineStr">
        <is>
          <t>HSBC payme team</t>
        </is>
      </c>
      <c r="P102" s="34" t="inlineStr">
        <is>
          <t>Tai Kok Tsui</t>
        </is>
      </c>
      <c r="Q102" s="34" t="inlineStr">
        <is>
          <t>$21000</t>
        </is>
      </c>
      <c r="R102" s="35" t="n"/>
      <c r="S102" s="35" t="n"/>
      <c r="T102" s="34" t="n"/>
      <c r="U102" s="34" t="inlineStr">
        <is>
          <t>Not contacted</t>
        </is>
      </c>
      <c r="V102" s="37" t="n"/>
      <c r="W102" s="37" t="n"/>
      <c r="X102">
        <f>IF($W102="","",IF(DATE(YEAR(TODAY()),MONTH($W102),DAY($W102))&gt;=TODAY(),DATE(YEAR(TODAY()),MONTH($W102),DAY($W102))-TODAY(),DATE(YEAR(TODAY())+1,MONTH($W102),DAY($W102))-TODAY()))</f>
        <v/>
      </c>
      <c r="Y102">
        <f>IF($X102="","",IF($X102&lt;=30,"YES",""))</f>
        <v/>
      </c>
      <c r="Z102" s="34">
        <f>IF($F102="Yes","Champion",IF($AB102&gt;=2,"Advocate",IF($AB102&gt;=1,"Referrer",IF($M102&gt;=4,"High Potential",IF($M102&gt;=3,"Standard","New"))))))</f>
        <v/>
      </c>
      <c r="AA102" s="34" t="inlineStr">
        <is>
          <t>No</t>
        </is>
      </c>
      <c r="AB102" s="34" t="n">
        <v>0</v>
      </c>
      <c r="AC102" s="34" t="n"/>
      <c r="AD102" s="37" t="n"/>
      <c r="AE102" s="35" t="n"/>
      <c r="AF102" s="34" t="n"/>
      <c r="AG102" s="34" t="n"/>
      <c r="AH102" s="34" t="n"/>
    </row>
    <row r="103">
      <c r="A103" s="30" t="n">
        <v>101</v>
      </c>
      <c r="B103" s="30" t="inlineStr">
        <is>
          <t>Low</t>
        </is>
      </c>
      <c r="C103" s="30" t="n">
        <v>2</v>
      </c>
      <c r="D103" s="31" t="n"/>
      <c r="E103" s="30" t="inlineStr">
        <is>
          <t>NEW</t>
        </is>
      </c>
      <c r="F103" s="30" t="n"/>
      <c r="G103" s="30" t="inlineStr">
        <is>
          <t>because lam</t>
        </is>
      </c>
      <c r="H103" s="30" t="inlineStr">
        <is>
          <t>becaue</t>
        </is>
      </c>
      <c r="I103" s="32" t="n"/>
      <c r="J103" s="30" t="inlineStr">
        <is>
          <t>Female</t>
        </is>
      </c>
      <c r="K103" s="30" t="n">
        <v>20</v>
      </c>
      <c r="L103" s="30" t="inlineStr">
        <is>
          <t>Friend</t>
        </is>
      </c>
      <c r="M103" s="30" t="n">
        <v>1</v>
      </c>
      <c r="N103" s="30" t="n">
        <v>1</v>
      </c>
      <c r="O103" s="30" t="inlineStr">
        <is>
          <t>student</t>
        </is>
      </c>
      <c r="P103" s="30" t="inlineStr">
        <is>
          <t>unknown</t>
        </is>
      </c>
      <c r="Q103" s="30" t="inlineStr">
        <is>
          <t>unknown</t>
        </is>
      </c>
      <c r="R103" s="31" t="n"/>
      <c r="S103" s="31" t="n"/>
      <c r="T103" s="30" t="n"/>
      <c r="U103" s="30" t="inlineStr">
        <is>
          <t>Not contacted</t>
        </is>
      </c>
      <c r="V103" s="33" t="n"/>
      <c r="W103" s="33" t="n"/>
      <c r="X103">
        <f>IF($W103="","",IF(DATE(YEAR(TODAY()),MONTH($W103),DAY($W103))&gt;=TODAY(),DATE(YEAR(TODAY()),MONTH($W103),DAY($W103))-TODAY(),DATE(YEAR(TODAY())+1,MONTH($W103),DAY($W103))-TODAY()))</f>
        <v/>
      </c>
      <c r="Y103">
        <f>IF($X103="","",IF($X103&lt;=30,"YES",""))</f>
        <v/>
      </c>
      <c r="Z103" s="30">
        <f>IF($F103="Yes","Champion",IF($AB103&gt;=2,"Advocate",IF($AB103&gt;=1,"Referrer",IF($M103&gt;=4,"High Potential",IF($M103&gt;=3,"Standard","New"))))))</f>
        <v/>
      </c>
      <c r="AA103" s="30" t="inlineStr">
        <is>
          <t>No</t>
        </is>
      </c>
      <c r="AB103" s="30" t="n">
        <v>0</v>
      </c>
      <c r="AC103" s="30" t="n"/>
      <c r="AD103" s="33" t="n"/>
      <c r="AE103" s="31" t="n"/>
      <c r="AF103" s="30" t="n"/>
      <c r="AG103" s="30" t="n"/>
      <c r="AH103" s="30" t="n"/>
    </row>
    <row r="104">
      <c r="A104" s="34" t="n">
        <v>102</v>
      </c>
      <c r="B104" s="34" t="inlineStr">
        <is>
          <t>Low</t>
        </is>
      </c>
      <c r="C104" s="34" t="n">
        <v>2</v>
      </c>
      <c r="D104" s="35" t="n"/>
      <c r="E104" s="34" t="inlineStr">
        <is>
          <t>NEW</t>
        </is>
      </c>
      <c r="F104" s="34" t="n"/>
      <c r="G104" s="34" t="inlineStr">
        <is>
          <t>gordon Tai</t>
        </is>
      </c>
      <c r="H104" s="34" t="inlineStr">
        <is>
          <t>Gordon</t>
        </is>
      </c>
      <c r="I104" s="36" t="n"/>
      <c r="J104" s="34" t="inlineStr">
        <is>
          <t>Male</t>
        </is>
      </c>
      <c r="K104" s="34" t="n"/>
      <c r="L104" s="34" t="inlineStr">
        <is>
          <t>Friend</t>
        </is>
      </c>
      <c r="M104" s="34" t="n">
        <v>1</v>
      </c>
      <c r="N104" s="34" t="n">
        <v>1</v>
      </c>
      <c r="O104" s="34" t="inlineStr">
        <is>
          <t>social worker</t>
        </is>
      </c>
      <c r="P104" s="34" t="inlineStr">
        <is>
          <t>unknown</t>
        </is>
      </c>
      <c r="Q104" s="34" t="inlineStr">
        <is>
          <t>unknown</t>
        </is>
      </c>
      <c r="R104" s="35" t="n"/>
      <c r="S104" s="35" t="n"/>
      <c r="T104" s="34" t="n"/>
      <c r="U104" s="34" t="inlineStr">
        <is>
          <t>Not contacted</t>
        </is>
      </c>
      <c r="V104" s="37" t="n"/>
      <c r="W104" s="37" t="n"/>
      <c r="X104">
        <f>IF($W104="","",IF(DATE(YEAR(TODAY()),MONTH($W104),DAY($W104))&gt;=TODAY(),DATE(YEAR(TODAY()),MONTH($W104),DAY($W104))-TODAY(),DATE(YEAR(TODAY())+1,MONTH($W104),DAY($W104))-TODAY()))</f>
        <v/>
      </c>
      <c r="Y104">
        <f>IF($X104="","",IF($X104&lt;=30,"YES",""))</f>
        <v/>
      </c>
      <c r="Z104" s="34">
        <f>IF($F104="Yes","Champion",IF($AB104&gt;=2,"Advocate",IF($AB104&gt;=1,"Referrer",IF($M104&gt;=4,"High Potential",IF($M104&gt;=3,"Standard","New"))))))</f>
        <v/>
      </c>
      <c r="AA104" s="34" t="inlineStr">
        <is>
          <t>No</t>
        </is>
      </c>
      <c r="AB104" s="34" t="n">
        <v>0</v>
      </c>
      <c r="AC104" s="34" t="n"/>
      <c r="AD104" s="37" t="n"/>
      <c r="AE104" s="35" t="n"/>
      <c r="AF104" s="34" t="n"/>
      <c r="AG104" s="34" t="n"/>
      <c r="AH104" s="34" t="n"/>
    </row>
    <row r="105">
      <c r="A105" s="30" t="n">
        <v>103</v>
      </c>
      <c r="B105" s="30" t="inlineStr">
        <is>
          <t>Low</t>
        </is>
      </c>
      <c r="C105" s="30" t="n">
        <v>2</v>
      </c>
      <c r="D105" s="31" t="n"/>
      <c r="E105" s="30" t="inlineStr">
        <is>
          <t>NEW</t>
        </is>
      </c>
      <c r="F105" s="30" t="n"/>
      <c r="G105" s="30" t="inlineStr">
        <is>
          <t>herman leung</t>
        </is>
      </c>
      <c r="H105" s="30" t="inlineStr">
        <is>
          <t>herman</t>
        </is>
      </c>
      <c r="I105" s="32" t="n"/>
      <c r="J105" s="30" t="inlineStr">
        <is>
          <t>Male</t>
        </is>
      </c>
      <c r="K105" s="30" t="n">
        <v>24</v>
      </c>
      <c r="L105" s="30" t="inlineStr">
        <is>
          <t>Friend</t>
        </is>
      </c>
      <c r="M105" s="30" t="n">
        <v>1</v>
      </c>
      <c r="N105" s="30" t="n">
        <v>1</v>
      </c>
      <c r="O105" s="30" t="inlineStr">
        <is>
          <t>Unknown</t>
        </is>
      </c>
      <c r="P105" s="30" t="inlineStr">
        <is>
          <t>Unknown</t>
        </is>
      </c>
      <c r="Q105" s="30" t="inlineStr">
        <is>
          <t>Unknown</t>
        </is>
      </c>
      <c r="R105" s="31" t="n"/>
      <c r="S105" s="31" t="n"/>
      <c r="T105" s="30" t="n"/>
      <c r="U105" s="30" t="inlineStr">
        <is>
          <t>Not contacted</t>
        </is>
      </c>
      <c r="V105" s="33" t="n"/>
      <c r="W105" s="33" t="n"/>
      <c r="X105">
        <f>IF($W105="","",IF(DATE(YEAR(TODAY()),MONTH($W105),DAY($W105))&gt;=TODAY(),DATE(YEAR(TODAY()),MONTH($W105),DAY($W105))-TODAY(),DATE(YEAR(TODAY())+1,MONTH($W105),DAY($W105))-TODAY()))</f>
        <v/>
      </c>
      <c r="Y105">
        <f>IF($X105="","",IF($X105&lt;=30,"YES",""))</f>
        <v/>
      </c>
      <c r="Z105" s="30">
        <f>IF($F105="Yes","Champion",IF($AB105&gt;=2,"Advocate",IF($AB105&gt;=1,"Referrer",IF($M105&gt;=4,"High Potential",IF($M105&gt;=3,"Standard","New"))))))</f>
        <v/>
      </c>
      <c r="AA105" s="30" t="inlineStr">
        <is>
          <t>No</t>
        </is>
      </c>
      <c r="AB105" s="30" t="n">
        <v>0</v>
      </c>
      <c r="AC105" s="30" t="n"/>
      <c r="AD105" s="33" t="n"/>
      <c r="AE105" s="31" t="n"/>
      <c r="AF105" s="30" t="n"/>
      <c r="AG105" s="30" t="n"/>
      <c r="AH105" s="30" t="n"/>
    </row>
    <row r="106">
      <c r="A106" s="34" t="n">
        <v>104</v>
      </c>
      <c r="B106" s="34" t="inlineStr">
        <is>
          <t>Low</t>
        </is>
      </c>
      <c r="C106" s="34" t="n">
        <v>2</v>
      </c>
      <c r="D106" s="35" t="n"/>
      <c r="E106" s="34" t="inlineStr">
        <is>
          <t>NEW</t>
        </is>
      </c>
      <c r="F106" s="34" t="n"/>
      <c r="G106" s="34" t="inlineStr">
        <is>
          <t>kwok sin ting</t>
        </is>
      </c>
      <c r="H106" s="34" t="inlineStr">
        <is>
          <t>lily</t>
        </is>
      </c>
      <c r="I106" s="36" t="n"/>
      <c r="J106" s="34" t="inlineStr">
        <is>
          <t>Female</t>
        </is>
      </c>
      <c r="K106" s="34" t="n">
        <v>24</v>
      </c>
      <c r="L106" s="34" t="inlineStr">
        <is>
          <t>Friend</t>
        </is>
      </c>
      <c r="M106" s="34" t="n">
        <v>1</v>
      </c>
      <c r="N106" s="34" t="n">
        <v>1</v>
      </c>
      <c r="O106" s="34" t="inlineStr">
        <is>
          <t>nurse student</t>
        </is>
      </c>
      <c r="P106" s="34" t="inlineStr">
        <is>
          <t>unknown</t>
        </is>
      </c>
      <c r="Q106" s="34" t="inlineStr">
        <is>
          <t>unknown</t>
        </is>
      </c>
      <c r="R106" s="35" t="n"/>
      <c r="S106" s="35" t="n"/>
      <c r="T106" s="34" t="n"/>
      <c r="U106" s="34" t="inlineStr">
        <is>
          <t>Not contacted</t>
        </is>
      </c>
      <c r="V106" s="37" t="n"/>
      <c r="W106" s="37" t="n"/>
      <c r="X106">
        <f>IF($W106="","",IF(DATE(YEAR(TODAY()),MONTH($W106),DAY($W106))&gt;=TODAY(),DATE(YEAR(TODAY()),MONTH($W106),DAY($W106))-TODAY(),DATE(YEAR(TODAY())+1,MONTH($W106),DAY($W106))-TODAY()))</f>
        <v/>
      </c>
      <c r="Y106">
        <f>IF($X106="","",IF($X106&lt;=30,"YES",""))</f>
        <v/>
      </c>
      <c r="Z106" s="34">
        <f>IF($F106="Yes","Champion",IF($AB106&gt;=2,"Advocate",IF($AB106&gt;=1,"Referrer",IF($M106&gt;=4,"High Potential",IF($M106&gt;=3,"Standard","New"))))))</f>
        <v/>
      </c>
      <c r="AA106" s="34" t="inlineStr">
        <is>
          <t>No</t>
        </is>
      </c>
      <c r="AB106" s="34" t="n">
        <v>0</v>
      </c>
      <c r="AC106" s="34" t="n"/>
      <c r="AD106" s="37" t="n"/>
      <c r="AE106" s="35" t="n"/>
      <c r="AF106" s="34" t="n"/>
      <c r="AG106" s="34" t="n"/>
      <c r="AH106" s="34" t="n"/>
    </row>
    <row r="107">
      <c r="A107" s="38" t="inlineStr">
        <is>
          <t>▼ ADD NEW CLIENTS BELOW (use dropdowns)</t>
        </is>
      </c>
    </row>
    <row r="108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40" t="n"/>
      <c r="J108" s="39" t="n"/>
      <c r="K108" s="39" t="n"/>
      <c r="L108" s="39" t="n"/>
      <c r="M108" s="39" t="n"/>
      <c r="N108" s="39" t="n"/>
      <c r="O108" s="39" t="n"/>
      <c r="P108" s="39" t="n"/>
      <c r="Q108" s="39" t="n"/>
      <c r="R108" s="39" t="n"/>
      <c r="S108" s="39" t="n"/>
      <c r="T108" s="39" t="n"/>
      <c r="U108" s="39" t="inlineStr">
        <is>
          <t>Not contacted</t>
        </is>
      </c>
      <c r="V108" s="41" t="n"/>
      <c r="W108" s="41" t="n"/>
      <c r="X108" s="39">
        <f>IF($W108="","",IF(DATE(YEAR(TODAY()),MONTH($W108),DAY($W108))&gt;=TODAY(),DATE(YEAR(TODAY()),MONTH($W108),DAY($W108))-TODAY(),DATE(YEAR(TODAY())+1,MONTH($W108),DAY($W108))-TODAY()))</f>
        <v/>
      </c>
      <c r="Y108" s="39">
        <f>IF($X108="","",IF($X108&lt;=30,"YES",""))</f>
        <v/>
      </c>
      <c r="Z108" s="39">
        <f>IF($F108="Yes","Champion",IF($AB108&gt;=2,"Advocate",IF($AB108&gt;=1,"Referrer",IF($M108&gt;=4,"High Potential",IF($M108&gt;=3,"Standard","New"))))))</f>
        <v/>
      </c>
      <c r="AA108" s="39" t="inlineStr">
        <is>
          <t>No</t>
        </is>
      </c>
      <c r="AB108" s="39" t="n"/>
      <c r="AC108" s="39" t="n"/>
      <c r="AD108" s="41" t="n"/>
      <c r="AE108" s="39" t="n"/>
      <c r="AF108" s="39" t="n"/>
      <c r="AG108" s="39" t="n"/>
      <c r="AH108" s="39" t="n"/>
    </row>
    <row r="10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40" t="n"/>
      <c r="J109" s="39" t="n"/>
      <c r="K109" s="39" t="n"/>
      <c r="L109" s="39" t="n"/>
      <c r="M109" s="39" t="n"/>
      <c r="N109" s="39" t="n"/>
      <c r="O109" s="39" t="n"/>
      <c r="P109" s="39" t="n"/>
      <c r="Q109" s="39" t="n"/>
      <c r="R109" s="39" t="n"/>
      <c r="S109" s="39" t="n"/>
      <c r="T109" s="39" t="n"/>
      <c r="U109" s="39" t="inlineStr">
        <is>
          <t>Not contacted</t>
        </is>
      </c>
      <c r="V109" s="41" t="n"/>
      <c r="W109" s="41" t="n"/>
      <c r="X109" s="39">
        <f>IF($W109="","",IF(DATE(YEAR(TODAY()),MONTH($W109),DAY($W109))&gt;=TODAY(),DATE(YEAR(TODAY()),MONTH($W109),DAY($W109))-TODAY(),DATE(YEAR(TODAY())+1,MONTH($W109),DAY($W109))-TODAY()))</f>
        <v/>
      </c>
      <c r="Y109" s="39">
        <f>IF($X109="","",IF($X109&lt;=30,"YES",""))</f>
        <v/>
      </c>
      <c r="Z109" s="39">
        <f>IF($F109="Yes","Champion",IF($AB109&gt;=2,"Advocate",IF($AB109&gt;=1,"Referrer",IF($M109&gt;=4,"High Potential",IF($M109&gt;=3,"Standard","New"))))))</f>
        <v/>
      </c>
      <c r="AA109" s="39" t="inlineStr">
        <is>
          <t>No</t>
        </is>
      </c>
      <c r="AB109" s="39" t="n"/>
      <c r="AC109" s="39" t="n"/>
      <c r="AD109" s="41" t="n"/>
      <c r="AE109" s="39" t="n"/>
      <c r="AF109" s="39" t="n"/>
      <c r="AG109" s="39" t="n"/>
      <c r="AH109" s="39" t="n"/>
    </row>
    <row r="110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40" t="n"/>
      <c r="J110" s="39" t="n"/>
      <c r="K110" s="39" t="n"/>
      <c r="L110" s="39" t="n"/>
      <c r="M110" s="39" t="n"/>
      <c r="N110" s="39" t="n"/>
      <c r="O110" s="39" t="n"/>
      <c r="P110" s="39" t="n"/>
      <c r="Q110" s="39" t="n"/>
      <c r="R110" s="39" t="n"/>
      <c r="S110" s="39" t="n"/>
      <c r="T110" s="39" t="n"/>
      <c r="U110" s="39" t="inlineStr">
        <is>
          <t>Not contacted</t>
        </is>
      </c>
      <c r="V110" s="41" t="n"/>
      <c r="W110" s="41" t="n"/>
      <c r="X110" s="39">
        <f>IF($W110="","",IF(DATE(YEAR(TODAY()),MONTH($W110),DAY($W110))&gt;=TODAY(),DATE(YEAR(TODAY()),MONTH($W110),DAY($W110))-TODAY(),DATE(YEAR(TODAY())+1,MONTH($W110),DAY($W110))-TODAY()))</f>
        <v/>
      </c>
      <c r="Y110" s="39">
        <f>IF($X110="","",IF($X110&lt;=30,"YES",""))</f>
        <v/>
      </c>
      <c r="Z110" s="39">
        <f>IF($F110="Yes","Champion",IF($AB110&gt;=2,"Advocate",IF($AB110&gt;=1,"Referrer",IF($M110&gt;=4,"High Potential",IF($M110&gt;=3,"Standard","New"))))))</f>
        <v/>
      </c>
      <c r="AA110" s="39" t="inlineStr">
        <is>
          <t>No</t>
        </is>
      </c>
      <c r="AB110" s="39" t="n"/>
      <c r="AC110" s="39" t="n"/>
      <c r="AD110" s="41" t="n"/>
      <c r="AE110" s="39" t="n"/>
      <c r="AF110" s="39" t="n"/>
      <c r="AG110" s="39" t="n"/>
      <c r="AH110" s="39" t="n"/>
    </row>
    <row r="111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40" t="n"/>
      <c r="J111" s="39" t="n"/>
      <c r="K111" s="39" t="n"/>
      <c r="L111" s="39" t="n"/>
      <c r="M111" s="39" t="n"/>
      <c r="N111" s="39" t="n"/>
      <c r="O111" s="39" t="n"/>
      <c r="P111" s="39" t="n"/>
      <c r="Q111" s="39" t="n"/>
      <c r="R111" s="39" t="n"/>
      <c r="S111" s="39" t="n"/>
      <c r="T111" s="39" t="n"/>
      <c r="U111" s="39" t="inlineStr">
        <is>
          <t>Not contacted</t>
        </is>
      </c>
      <c r="V111" s="41" t="n"/>
      <c r="W111" s="41" t="n"/>
      <c r="X111" s="39">
        <f>IF($W111="","",IF(DATE(YEAR(TODAY()),MONTH($W111),DAY($W111))&gt;=TODAY(),DATE(YEAR(TODAY()),MONTH($W111),DAY($W111))-TODAY(),DATE(YEAR(TODAY())+1,MONTH($W111),DAY($W111))-TODAY()))</f>
        <v/>
      </c>
      <c r="Y111" s="39">
        <f>IF($X111="","",IF($X111&lt;=30,"YES",""))</f>
        <v/>
      </c>
      <c r="Z111" s="39">
        <f>IF($F111="Yes","Champion",IF($AB111&gt;=2,"Advocate",IF($AB111&gt;=1,"Referrer",IF($M111&gt;=4,"High Potential",IF($M111&gt;=3,"Standard","New"))))))</f>
        <v/>
      </c>
      <c r="AA111" s="39" t="inlineStr">
        <is>
          <t>No</t>
        </is>
      </c>
      <c r="AB111" s="39" t="n"/>
      <c r="AC111" s="39" t="n"/>
      <c r="AD111" s="41" t="n"/>
      <c r="AE111" s="39" t="n"/>
      <c r="AF111" s="39" t="n"/>
      <c r="AG111" s="39" t="n"/>
      <c r="AH111" s="39" t="n"/>
    </row>
    <row r="112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40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inlineStr">
        <is>
          <t>Not contacted</t>
        </is>
      </c>
      <c r="V112" s="41" t="n"/>
      <c r="W112" s="41" t="n"/>
      <c r="X112" s="39">
        <f>IF($W112="","",IF(DATE(YEAR(TODAY()),MONTH($W112),DAY($W112))&gt;=TODAY(),DATE(YEAR(TODAY()),MONTH($W112),DAY($W112))-TODAY(),DATE(YEAR(TODAY())+1,MONTH($W112),DAY($W112))-TODAY()))</f>
        <v/>
      </c>
      <c r="Y112" s="39">
        <f>IF($X112="","",IF($X112&lt;=30,"YES",""))</f>
        <v/>
      </c>
      <c r="Z112" s="39">
        <f>IF($F112="Yes","Champion",IF($AB112&gt;=2,"Advocate",IF($AB112&gt;=1,"Referrer",IF($M112&gt;=4,"High Potential",IF($M112&gt;=3,"Standard","New"))))))</f>
        <v/>
      </c>
      <c r="AA112" s="39" t="inlineStr">
        <is>
          <t>No</t>
        </is>
      </c>
      <c r="AB112" s="39" t="n"/>
      <c r="AC112" s="39" t="n"/>
      <c r="AD112" s="41" t="n"/>
      <c r="AE112" s="39" t="n"/>
      <c r="AF112" s="39" t="n"/>
      <c r="AG112" s="39" t="n"/>
      <c r="AH112" s="39" t="n"/>
    </row>
    <row r="113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40" t="n"/>
      <c r="J113" s="39" t="n"/>
      <c r="K113" s="39" t="n"/>
      <c r="L113" s="39" t="n"/>
      <c r="M113" s="39" t="n"/>
      <c r="N113" s="39" t="n"/>
      <c r="O113" s="39" t="n"/>
      <c r="P113" s="39" t="n"/>
      <c r="Q113" s="39" t="n"/>
      <c r="R113" s="39" t="n"/>
      <c r="S113" s="39" t="n"/>
      <c r="T113" s="39" t="n"/>
      <c r="U113" s="39" t="inlineStr">
        <is>
          <t>Not contacted</t>
        </is>
      </c>
      <c r="V113" s="41" t="n"/>
      <c r="W113" s="41" t="n"/>
      <c r="X113" s="39">
        <f>IF($W113="","",IF(DATE(YEAR(TODAY()),MONTH($W113),DAY($W113))&gt;=TODAY(),DATE(YEAR(TODAY()),MONTH($W113),DAY($W113))-TODAY(),DATE(YEAR(TODAY())+1,MONTH($W113),DAY($W113))-TODAY()))</f>
        <v/>
      </c>
      <c r="Y113" s="39">
        <f>IF($X113="","",IF($X113&lt;=30,"YES",""))</f>
        <v/>
      </c>
      <c r="Z113" s="39">
        <f>IF($F113="Yes","Champion",IF($AB113&gt;=2,"Advocate",IF($AB113&gt;=1,"Referrer",IF($M113&gt;=4,"High Potential",IF($M113&gt;=3,"Standard","New"))))))</f>
        <v/>
      </c>
      <c r="AA113" s="39" t="inlineStr">
        <is>
          <t>No</t>
        </is>
      </c>
      <c r="AB113" s="39" t="n"/>
      <c r="AC113" s="39" t="n"/>
      <c r="AD113" s="41" t="n"/>
      <c r="AE113" s="39" t="n"/>
      <c r="AF113" s="39" t="n"/>
      <c r="AG113" s="39" t="n"/>
      <c r="AH113" s="39" t="n"/>
    </row>
    <row r="114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40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inlineStr">
        <is>
          <t>Not contacted</t>
        </is>
      </c>
      <c r="V114" s="41" t="n"/>
      <c r="W114" s="41" t="n"/>
      <c r="X114" s="39">
        <f>IF($W114="","",IF(DATE(YEAR(TODAY()),MONTH($W114),DAY($W114))&gt;=TODAY(),DATE(YEAR(TODAY()),MONTH($W114),DAY($W114))-TODAY(),DATE(YEAR(TODAY())+1,MONTH($W114),DAY($W114))-TODAY()))</f>
        <v/>
      </c>
      <c r="Y114" s="39">
        <f>IF($X114="","",IF($X114&lt;=30,"YES",""))</f>
        <v/>
      </c>
      <c r="Z114" s="39">
        <f>IF($F114="Yes","Champion",IF($AB114&gt;=2,"Advocate",IF($AB114&gt;=1,"Referrer",IF($M114&gt;=4,"High Potential",IF($M114&gt;=3,"Standard","New"))))))</f>
        <v/>
      </c>
      <c r="AA114" s="39" t="inlineStr">
        <is>
          <t>No</t>
        </is>
      </c>
      <c r="AB114" s="39" t="n"/>
      <c r="AC114" s="39" t="n"/>
      <c r="AD114" s="41" t="n"/>
      <c r="AE114" s="39" t="n"/>
      <c r="AF114" s="39" t="n"/>
      <c r="AG114" s="39" t="n"/>
      <c r="AH114" s="39" t="n"/>
    </row>
    <row r="115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40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inlineStr">
        <is>
          <t>Not contacted</t>
        </is>
      </c>
      <c r="V115" s="41" t="n"/>
      <c r="W115" s="41" t="n"/>
      <c r="X115" s="39">
        <f>IF($W115="","",IF(DATE(YEAR(TODAY()),MONTH($W115),DAY($W115))&gt;=TODAY(),DATE(YEAR(TODAY()),MONTH($W115),DAY($W115))-TODAY(),DATE(YEAR(TODAY())+1,MONTH($W115),DAY($W115))-TODAY()))</f>
        <v/>
      </c>
      <c r="Y115" s="39">
        <f>IF($X115="","",IF($X115&lt;=30,"YES",""))</f>
        <v/>
      </c>
      <c r="Z115" s="39">
        <f>IF($F115="Yes","Champion",IF($AB115&gt;=2,"Advocate",IF($AB115&gt;=1,"Referrer",IF($M115&gt;=4,"High Potential",IF($M115&gt;=3,"Standard","New"))))))</f>
        <v/>
      </c>
      <c r="AA115" s="39" t="inlineStr">
        <is>
          <t>No</t>
        </is>
      </c>
      <c r="AB115" s="39" t="n"/>
      <c r="AC115" s="39" t="n"/>
      <c r="AD115" s="41" t="n"/>
      <c r="AE115" s="39" t="n"/>
      <c r="AF115" s="39" t="n"/>
      <c r="AG115" s="39" t="n"/>
      <c r="AH115" s="39" t="n"/>
    </row>
    <row r="116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40" t="n"/>
      <c r="J116" s="39" t="n"/>
      <c r="K116" s="39" t="n"/>
      <c r="L116" s="39" t="n"/>
      <c r="M116" s="39" t="n"/>
      <c r="N116" s="39" t="n"/>
      <c r="O116" s="39" t="n"/>
      <c r="P116" s="39" t="n"/>
      <c r="Q116" s="39" t="n"/>
      <c r="R116" s="39" t="n"/>
      <c r="S116" s="39" t="n"/>
      <c r="T116" s="39" t="n"/>
      <c r="U116" s="39" t="inlineStr">
        <is>
          <t>Not contacted</t>
        </is>
      </c>
      <c r="V116" s="41" t="n"/>
      <c r="W116" s="41" t="n"/>
      <c r="X116" s="39">
        <f>IF($W116="","",IF(DATE(YEAR(TODAY()),MONTH($W116),DAY($W116))&gt;=TODAY(),DATE(YEAR(TODAY()),MONTH($W116),DAY($W116))-TODAY(),DATE(YEAR(TODAY())+1,MONTH($W116),DAY($W116))-TODAY()))</f>
        <v/>
      </c>
      <c r="Y116" s="39">
        <f>IF($X116="","",IF($X116&lt;=30,"YES",""))</f>
        <v/>
      </c>
      <c r="Z116" s="39">
        <f>IF($F116="Yes","Champion",IF($AB116&gt;=2,"Advocate",IF($AB116&gt;=1,"Referrer",IF($M116&gt;=4,"High Potential",IF($M116&gt;=3,"Standard","New"))))))</f>
        <v/>
      </c>
      <c r="AA116" s="39" t="inlineStr">
        <is>
          <t>No</t>
        </is>
      </c>
      <c r="AB116" s="39" t="n"/>
      <c r="AC116" s="39" t="n"/>
      <c r="AD116" s="41" t="n"/>
      <c r="AE116" s="39" t="n"/>
      <c r="AF116" s="39" t="n"/>
      <c r="AG116" s="39" t="n"/>
      <c r="AH116" s="39" t="n"/>
    </row>
    <row r="117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40" t="n"/>
      <c r="J117" s="39" t="n"/>
      <c r="K117" s="39" t="n"/>
      <c r="L117" s="39" t="n"/>
      <c r="M117" s="39" t="n"/>
      <c r="N117" s="39" t="n"/>
      <c r="O117" s="39" t="n"/>
      <c r="P117" s="39" t="n"/>
      <c r="Q117" s="39" t="n"/>
      <c r="R117" s="39" t="n"/>
      <c r="S117" s="39" t="n"/>
      <c r="T117" s="39" t="n"/>
      <c r="U117" s="39" t="inlineStr">
        <is>
          <t>Not contacted</t>
        </is>
      </c>
      <c r="V117" s="41" t="n"/>
      <c r="W117" s="41" t="n"/>
      <c r="X117" s="39">
        <f>IF($W117="","",IF(DATE(YEAR(TODAY()),MONTH($W117),DAY($W117))&gt;=TODAY(),DATE(YEAR(TODAY()),MONTH($W117),DAY($W117))-TODAY(),DATE(YEAR(TODAY())+1,MONTH($W117),DAY($W117))-TODAY()))</f>
        <v/>
      </c>
      <c r="Y117" s="39">
        <f>IF($X117="","",IF($X117&lt;=30,"YES",""))</f>
        <v/>
      </c>
      <c r="Z117" s="39">
        <f>IF($F117="Yes","Champion",IF($AB117&gt;=2,"Advocate",IF($AB117&gt;=1,"Referrer",IF($M117&gt;=4,"High Potential",IF($M117&gt;=3,"Standard","New"))))))</f>
        <v/>
      </c>
      <c r="AA117" s="39" t="inlineStr">
        <is>
          <t>No</t>
        </is>
      </c>
      <c r="AB117" s="39" t="n"/>
      <c r="AC117" s="39" t="n"/>
      <c r="AD117" s="41" t="n"/>
      <c r="AE117" s="39" t="n"/>
      <c r="AF117" s="39" t="n"/>
      <c r="AG117" s="39" t="n"/>
      <c r="AH117" s="39" t="n"/>
    </row>
    <row r="118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40" t="n"/>
      <c r="J118" s="39" t="n"/>
      <c r="K118" s="39" t="n"/>
      <c r="L118" s="39" t="n"/>
      <c r="M118" s="39" t="n"/>
      <c r="N118" s="39" t="n"/>
      <c r="O118" s="39" t="n"/>
      <c r="P118" s="39" t="n"/>
      <c r="Q118" s="39" t="n"/>
      <c r="R118" s="39" t="n"/>
      <c r="S118" s="39" t="n"/>
      <c r="T118" s="39" t="n"/>
      <c r="U118" s="39" t="inlineStr">
        <is>
          <t>Not contacted</t>
        </is>
      </c>
      <c r="V118" s="41" t="n"/>
      <c r="W118" s="41" t="n"/>
      <c r="X118" s="39">
        <f>IF($W118="","",IF(DATE(YEAR(TODAY()),MONTH($W118),DAY($W118))&gt;=TODAY(),DATE(YEAR(TODAY()),MONTH($W118),DAY($W118))-TODAY(),DATE(YEAR(TODAY())+1,MONTH($W118),DAY($W118))-TODAY()))</f>
        <v/>
      </c>
      <c r="Y118" s="39">
        <f>IF($X118="","",IF($X118&lt;=30,"YES",""))</f>
        <v/>
      </c>
      <c r="Z118" s="39">
        <f>IF($F118="Yes","Champion",IF($AB118&gt;=2,"Advocate",IF($AB118&gt;=1,"Referrer",IF($M118&gt;=4,"High Potential",IF($M118&gt;=3,"Standard","New"))))))</f>
        <v/>
      </c>
      <c r="AA118" s="39" t="inlineStr">
        <is>
          <t>No</t>
        </is>
      </c>
      <c r="AB118" s="39" t="n"/>
      <c r="AC118" s="39" t="n"/>
      <c r="AD118" s="41" t="n"/>
      <c r="AE118" s="39" t="n"/>
      <c r="AF118" s="39" t="n"/>
      <c r="AG118" s="39" t="n"/>
      <c r="AH118" s="39" t="n"/>
    </row>
    <row r="11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40" t="n"/>
      <c r="J119" s="39" t="n"/>
      <c r="K119" s="39" t="n"/>
      <c r="L119" s="39" t="n"/>
      <c r="M119" s="39" t="n"/>
      <c r="N119" s="39" t="n"/>
      <c r="O119" s="39" t="n"/>
      <c r="P119" s="39" t="n"/>
      <c r="Q119" s="39" t="n"/>
      <c r="R119" s="39" t="n"/>
      <c r="S119" s="39" t="n"/>
      <c r="T119" s="39" t="n"/>
      <c r="U119" s="39" t="inlineStr">
        <is>
          <t>Not contacted</t>
        </is>
      </c>
      <c r="V119" s="41" t="n"/>
      <c r="W119" s="41" t="n"/>
      <c r="X119" s="39">
        <f>IF($W119="","",IF(DATE(YEAR(TODAY()),MONTH($W119),DAY($W119))&gt;=TODAY(),DATE(YEAR(TODAY()),MONTH($W119),DAY($W119))-TODAY(),DATE(YEAR(TODAY())+1,MONTH($W119),DAY($W119))-TODAY()))</f>
        <v/>
      </c>
      <c r="Y119" s="39">
        <f>IF($X119="","",IF($X119&lt;=30,"YES",""))</f>
        <v/>
      </c>
      <c r="Z119" s="39">
        <f>IF($F119="Yes","Champion",IF($AB119&gt;=2,"Advocate",IF($AB119&gt;=1,"Referrer",IF($M119&gt;=4,"High Potential",IF($M119&gt;=3,"Standard","New"))))))</f>
        <v/>
      </c>
      <c r="AA119" s="39" t="inlineStr">
        <is>
          <t>No</t>
        </is>
      </c>
      <c r="AB119" s="39" t="n"/>
      <c r="AC119" s="39" t="n"/>
      <c r="AD119" s="41" t="n"/>
      <c r="AE119" s="39" t="n"/>
      <c r="AF119" s="39" t="n"/>
      <c r="AG119" s="39" t="n"/>
      <c r="AH119" s="39" t="n"/>
    </row>
    <row r="120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40" t="n"/>
      <c r="J120" s="39" t="n"/>
      <c r="K120" s="39" t="n"/>
      <c r="L120" s="39" t="n"/>
      <c r="M120" s="39" t="n"/>
      <c r="N120" s="39" t="n"/>
      <c r="O120" s="39" t="n"/>
      <c r="P120" s="39" t="n"/>
      <c r="Q120" s="39" t="n"/>
      <c r="R120" s="39" t="n"/>
      <c r="S120" s="39" t="n"/>
      <c r="T120" s="39" t="n"/>
      <c r="U120" s="39" t="inlineStr">
        <is>
          <t>Not contacted</t>
        </is>
      </c>
      <c r="V120" s="41" t="n"/>
      <c r="W120" s="41" t="n"/>
      <c r="X120" s="39">
        <f>IF($W120="","",IF(DATE(YEAR(TODAY()),MONTH($W120),DAY($W120))&gt;=TODAY(),DATE(YEAR(TODAY()),MONTH($W120),DAY($W120))-TODAY(),DATE(YEAR(TODAY())+1,MONTH($W120),DAY($W120))-TODAY()))</f>
        <v/>
      </c>
      <c r="Y120" s="39">
        <f>IF($X120="","",IF($X120&lt;=30,"YES",""))</f>
        <v/>
      </c>
      <c r="Z120" s="39">
        <f>IF($F120="Yes","Champion",IF($AB120&gt;=2,"Advocate",IF($AB120&gt;=1,"Referrer",IF($M120&gt;=4,"High Potential",IF($M120&gt;=3,"Standard","New"))))))</f>
        <v/>
      </c>
      <c r="AA120" s="39" t="inlineStr">
        <is>
          <t>No</t>
        </is>
      </c>
      <c r="AB120" s="39" t="n"/>
      <c r="AC120" s="39" t="n"/>
      <c r="AD120" s="41" t="n"/>
      <c r="AE120" s="39" t="n"/>
      <c r="AF120" s="39" t="n"/>
      <c r="AG120" s="39" t="n"/>
      <c r="AH120" s="39" t="n"/>
    </row>
    <row r="121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40" t="n"/>
      <c r="J121" s="39" t="n"/>
      <c r="K121" s="39" t="n"/>
      <c r="L121" s="39" t="n"/>
      <c r="M121" s="39" t="n"/>
      <c r="N121" s="39" t="n"/>
      <c r="O121" s="39" t="n"/>
      <c r="P121" s="39" t="n"/>
      <c r="Q121" s="39" t="n"/>
      <c r="R121" s="39" t="n"/>
      <c r="S121" s="39" t="n"/>
      <c r="T121" s="39" t="n"/>
      <c r="U121" s="39" t="inlineStr">
        <is>
          <t>Not contacted</t>
        </is>
      </c>
      <c r="V121" s="41" t="n"/>
      <c r="W121" s="41" t="n"/>
      <c r="X121" s="39">
        <f>IF($W121="","",IF(DATE(YEAR(TODAY()),MONTH($W121),DAY($W121))&gt;=TODAY(),DATE(YEAR(TODAY()),MONTH($W121),DAY($W121))-TODAY(),DATE(YEAR(TODAY())+1,MONTH($W121),DAY($W121))-TODAY()))</f>
        <v/>
      </c>
      <c r="Y121" s="39">
        <f>IF($X121="","",IF($X121&lt;=30,"YES",""))</f>
        <v/>
      </c>
      <c r="Z121" s="39">
        <f>IF($F121="Yes","Champion",IF($AB121&gt;=2,"Advocate",IF($AB121&gt;=1,"Referrer",IF($M121&gt;=4,"High Potential",IF($M121&gt;=3,"Standard","New"))))))</f>
        <v/>
      </c>
      <c r="AA121" s="39" t="inlineStr">
        <is>
          <t>No</t>
        </is>
      </c>
      <c r="AB121" s="39" t="n"/>
      <c r="AC121" s="39" t="n"/>
      <c r="AD121" s="41" t="n"/>
      <c r="AE121" s="39" t="n"/>
      <c r="AF121" s="39" t="n"/>
      <c r="AG121" s="39" t="n"/>
      <c r="AH121" s="39" t="n"/>
    </row>
    <row r="122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40" t="n"/>
      <c r="J122" s="39" t="n"/>
      <c r="K122" s="39" t="n"/>
      <c r="L122" s="39" t="n"/>
      <c r="M122" s="39" t="n"/>
      <c r="N122" s="39" t="n"/>
      <c r="O122" s="39" t="n"/>
      <c r="P122" s="39" t="n"/>
      <c r="Q122" s="39" t="n"/>
      <c r="R122" s="39" t="n"/>
      <c r="S122" s="39" t="n"/>
      <c r="T122" s="39" t="n"/>
      <c r="U122" s="39" t="inlineStr">
        <is>
          <t>Not contacted</t>
        </is>
      </c>
      <c r="V122" s="41" t="n"/>
      <c r="W122" s="41" t="n"/>
      <c r="X122" s="39">
        <f>IF($W122="","",IF(DATE(YEAR(TODAY()),MONTH($W122),DAY($W122))&gt;=TODAY(),DATE(YEAR(TODAY()),MONTH($W122),DAY($W122))-TODAY(),DATE(YEAR(TODAY())+1,MONTH($W122),DAY($W122))-TODAY()))</f>
        <v/>
      </c>
      <c r="Y122" s="39">
        <f>IF($X122="","",IF($X122&lt;=30,"YES",""))</f>
        <v/>
      </c>
      <c r="Z122" s="39">
        <f>IF($F122="Yes","Champion",IF($AB122&gt;=2,"Advocate",IF($AB122&gt;=1,"Referrer",IF($M122&gt;=4,"High Potential",IF($M122&gt;=3,"Standard","New"))))))</f>
        <v/>
      </c>
      <c r="AA122" s="39" t="inlineStr">
        <is>
          <t>No</t>
        </is>
      </c>
      <c r="AB122" s="39" t="n"/>
      <c r="AC122" s="39" t="n"/>
      <c r="AD122" s="41" t="n"/>
      <c r="AE122" s="39" t="n"/>
      <c r="AF122" s="39" t="n"/>
      <c r="AG122" s="39" t="n"/>
      <c r="AH122" s="39" t="n"/>
    </row>
  </sheetData>
  <autoFilter ref="A2:AH122"/>
  <mergeCells count="1">
    <mergeCell ref="A1:AH1"/>
  </mergeCells>
  <conditionalFormatting sqref="B3:B122">
    <cfRule type="expression" priority="1" dxfId="0">
      <formula>$B3="Hot"</formula>
    </cfRule>
    <cfRule type="expression" priority="2" dxfId="1">
      <formula>$B3="Client"</formula>
    </cfRule>
    <cfRule type="expression" priority="3" dxfId="2">
      <formula>$B3="Warm"</formula>
    </cfRule>
  </conditionalFormatting>
  <conditionalFormatting sqref="Y3:Y122">
    <cfRule type="expression" priority="4" dxfId="3">
      <formula>$Y3="YES"</formula>
    </cfRule>
  </conditionalFormatting>
  <conditionalFormatting sqref="Z3:Z122">
    <cfRule type="expression" priority="5" dxfId="4">
      <formula>$Z3="Champion"</formula>
    </cfRule>
  </conditionalFormatting>
  <dataValidations count="5">
    <dataValidation sqref="B3:B122" showDropDown="0" showInputMessage="0" showErrorMessage="0" allowBlank="1" errorTitle="Invalid value" error="Please pick from the list" type="list">
      <formula1>"Hot,Warm,Nurture,Low,Client"</formula1>
    </dataValidation>
    <dataValidation sqref="E3:E122" showDropDown="0" showInputMessage="0" showErrorMessage="0" allowBlank="1" errorTitle="Invalid value" error="Please pick from the list" type="list">
      <formula1>"NEW,L0,L1,L2,L3"</formula1>
    </dataValidation>
    <dataValidation sqref="J3:J122" showDropDown="0" showInputMessage="0" showErrorMessage="0" allowBlank="1" errorTitle="Invalid value" error="Please pick from the list" type="list">
      <formula1>"Male,Female,Other"</formula1>
    </dataValidation>
    <dataValidation sqref="U3:U122" showDropDown="0" showInputMessage="0" showErrorMessage="0" allowBlank="1" errorTitle="Invalid value" error="Please pick from the list" type="list">
      <formula1>"Not contacted,First contact,Meeting scheduled,Needs analysis,Quoted,Follow-up,Negotiating,Won - pending,Active client,Referral partner,Nurture,Lost"</formula1>
    </dataValidation>
    <dataValidation sqref="AA3:AA122" showDropDown="0" showInputMessage="0" showErrorMessage="0" allowBlank="1" errorTitle="Invalid value" error="Please pick from the list" type="list">
      <formula1>"No,Yes - declined,Yes - will refer,Yes - referred someone"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D69E2E"/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4" max="4"/>
    <col width="32" customWidth="1" min="7" max="7"/>
  </cols>
  <sheetData>
    <row r="1" ht="36" customHeight="1">
      <c r="A1" s="42" t="inlineStr">
        <is>
          <t>Referral System — Build your introduction pipeline</t>
        </is>
      </c>
    </row>
    <row r="3">
      <c r="A3" s="17" t="inlineStr">
        <is>
          <t>How to use</t>
        </is>
      </c>
    </row>
    <row r="4">
      <c r="A4" t="inlineStr">
        <is>
          <t>1. Ask 「Champion」 clients (green on Clients sheet) after every good service call.</t>
        </is>
      </c>
    </row>
    <row r="5">
      <c r="A5" t="inlineStr">
        <is>
          <t>2. Set Referral Asked? → Yes - will refer / Yes - referred someone.</t>
        </is>
      </c>
    </row>
    <row r="6">
      <c r="A6" t="inlineStr">
        <is>
          <t>3. Log name in Referred By on new prospect row + Last Referral Date.</t>
        </is>
      </c>
    </row>
    <row r="7">
      <c r="A7" t="inlineStr">
        <is>
          <t>4. Thank referrer within 24 hours (message template below).</t>
        </is>
      </c>
    </row>
    <row r="9">
      <c r="A9" s="17" t="inlineStr">
        <is>
          <t>Referral champions (auto from Clients)</t>
        </is>
      </c>
    </row>
    <row r="10">
      <c r="A10" s="23" t="inlineStr">
        <is>
          <t>Name</t>
        </is>
      </c>
      <c r="B10" s="23" t="inlineStr">
        <is>
          <t>Phone</t>
        </is>
      </c>
      <c r="C10" s="23" t="inlineStr">
        <is>
          <t>Rel Score</t>
        </is>
      </c>
      <c r="D10" s="23" t="inlineStr">
        <is>
          <t>Referral Tier</t>
        </is>
      </c>
      <c r="E10" s="23" t="inlineStr">
        <is>
          <t>Referral Asked?</t>
        </is>
      </c>
      <c r="F10" s="23" t="inlineStr">
        <is>
          <t>Referrals Given</t>
        </is>
      </c>
      <c r="G10" s="23" t="inlineStr">
        <is>
          <t>Next Action</t>
        </is>
      </c>
    </row>
    <row r="11">
      <c r="A11" s="43" t="inlineStr">
        <is>
          <t>Cheng Kwai Tai</t>
        </is>
      </c>
      <c r="B11" s="43" t="inlineStr">
        <is>
          <t>64166451</t>
        </is>
      </c>
      <c r="C11" s="43" t="n">
        <v>5</v>
      </c>
      <c r="D11" s="43" t="inlineStr">
        <is>
          <t>High Potential</t>
        </is>
      </c>
      <c r="E11" s="43" t="inlineStr">
        <is>
          <t>No</t>
        </is>
      </c>
      <c r="F11" s="43" t="n">
        <v>0</v>
      </c>
      <c r="G11" s="43" t="inlineStr"/>
    </row>
    <row r="12">
      <c r="A12" s="43" t="inlineStr">
        <is>
          <t>Leung Wai Ki</t>
        </is>
      </c>
      <c r="B12" s="43" t="inlineStr">
        <is>
          <t>91468762</t>
        </is>
      </c>
      <c r="C12" s="43" t="n">
        <v>5</v>
      </c>
      <c r="D12" s="43" t="inlineStr">
        <is>
          <t>Champion</t>
        </is>
      </c>
      <c r="E12" s="43" t="inlineStr">
        <is>
          <t>No</t>
        </is>
      </c>
      <c r="F12" s="43" t="n">
        <v>0</v>
      </c>
      <c r="G12" s="43" t="inlineStr"/>
    </row>
    <row r="13">
      <c r="A13" s="43" t="inlineStr">
        <is>
          <t>Lung On Ki</t>
        </is>
      </c>
      <c r="B13" s="43" t="inlineStr">
        <is>
          <t>68506999</t>
        </is>
      </c>
      <c r="C13" s="43" t="n">
        <v>5</v>
      </c>
      <c r="D13" s="43" t="inlineStr">
        <is>
          <t>Champion</t>
        </is>
      </c>
      <c r="E13" s="43" t="inlineStr">
        <is>
          <t>No</t>
        </is>
      </c>
      <c r="F13" s="43" t="n">
        <v>0</v>
      </c>
      <c r="G13" s="43" t="inlineStr"/>
    </row>
    <row r="14">
      <c r="A14" s="43" t="inlineStr">
        <is>
          <t>Lung On Yi</t>
        </is>
      </c>
      <c r="B14" s="43" t="inlineStr">
        <is>
          <t>53408333</t>
        </is>
      </c>
      <c r="C14" s="43" t="n">
        <v>5</v>
      </c>
      <c r="D14" s="43" t="inlineStr">
        <is>
          <t>Champion</t>
        </is>
      </c>
      <c r="E14" s="43" t="inlineStr">
        <is>
          <t>No</t>
        </is>
      </c>
      <c r="F14" s="43" t="n">
        <v>0</v>
      </c>
      <c r="G14" s="43" t="inlineStr">
        <is>
          <t>child funds</t>
        </is>
      </c>
    </row>
    <row r="15">
      <c r="A15" s="43" t="inlineStr">
        <is>
          <t>Kwan Pui ming</t>
        </is>
      </c>
      <c r="B15" s="43" t="inlineStr">
        <is>
          <t>64344165</t>
        </is>
      </c>
      <c r="C15" s="43" t="n">
        <v>4</v>
      </c>
      <c r="D15" s="43" t="inlineStr">
        <is>
          <t>High Potential</t>
        </is>
      </c>
      <c r="E15" s="43" t="inlineStr">
        <is>
          <t>No</t>
        </is>
      </c>
      <c r="F15" s="43" t="n">
        <v>0</v>
      </c>
      <c r="G15" s="43" t="inlineStr"/>
    </row>
    <row r="16">
      <c r="A16" s="43" t="inlineStr">
        <is>
          <t>Cheung Chi Hi</t>
        </is>
      </c>
      <c r="B16" s="43" t="inlineStr">
        <is>
          <t>54052549</t>
        </is>
      </c>
      <c r="C16" s="43" t="n">
        <v>3</v>
      </c>
      <c r="D16" s="43" t="inlineStr">
        <is>
          <t>Champion</t>
        </is>
      </c>
      <c r="E16" s="43" t="inlineStr">
        <is>
          <t>No</t>
        </is>
      </c>
      <c r="F16" s="43" t="n">
        <v>0</v>
      </c>
      <c r="G16" s="43" t="inlineStr"/>
    </row>
    <row r="17">
      <c r="A17" s="43" t="inlineStr">
        <is>
          <t>Cheung Chun Hei</t>
        </is>
      </c>
      <c r="B17" s="43" t="inlineStr">
        <is>
          <t>61809023</t>
        </is>
      </c>
      <c r="C17" s="43" t="n">
        <v>3</v>
      </c>
      <c r="D17" s="43" t="inlineStr">
        <is>
          <t>Champion</t>
        </is>
      </c>
      <c r="E17" s="43" t="inlineStr">
        <is>
          <t>No</t>
        </is>
      </c>
      <c r="F17" s="43" t="n">
        <v>0</v>
      </c>
      <c r="G17" s="43" t="inlineStr">
        <is>
          <t>dinner on track 3000$ (GI/ Investment ) On 7/</t>
        </is>
      </c>
    </row>
    <row r="18">
      <c r="A18" s="43" t="inlineStr">
        <is>
          <t>Yu Chun Kit</t>
        </is>
      </c>
      <c r="B18" s="43" t="inlineStr">
        <is>
          <t>51999624</t>
        </is>
      </c>
      <c r="C18" s="43" t="n">
        <v>3</v>
      </c>
      <c r="D18" s="43" t="inlineStr">
        <is>
          <t>Champion</t>
        </is>
      </c>
      <c r="E18" s="43" t="inlineStr">
        <is>
          <t>No</t>
        </is>
      </c>
      <c r="F18" s="43" t="n">
        <v>0</v>
      </c>
      <c r="G18" s="43" t="inlineStr">
        <is>
          <t>Follow up saving</t>
        </is>
      </c>
    </row>
    <row r="19">
      <c r="A19" s="43" t="inlineStr">
        <is>
          <t>Cheung tsz Hei</t>
        </is>
      </c>
      <c r="B19" s="43" t="inlineStr"/>
      <c r="C19" s="43" t="n">
        <v>1</v>
      </c>
      <c r="D19" s="43" t="inlineStr">
        <is>
          <t>Champion</t>
        </is>
      </c>
      <c r="E19" s="43" t="inlineStr">
        <is>
          <t>No</t>
        </is>
      </c>
      <c r="F19" s="43" t="n">
        <v>0</v>
      </c>
      <c r="G19" s="43" t="inlineStr"/>
    </row>
    <row r="22">
      <c r="A22" s="17" t="inlineStr">
        <is>
          <t>WhatsApp scripts (copy &amp; edit)</t>
        </is>
      </c>
    </row>
    <row r="23" ht="48" customHeight="1">
      <c r="A23" s="3" t="inlineStr">
        <is>
          <t>Ask referral</t>
        </is>
      </c>
      <c r="B23" s="44" t="inlineStr">
        <is>
          <t>多謝你信任我。想幫多啲家庭做保障——如果你朋友最近買樓、生BB或轉工，肯唔肯介紹我同佢傾15分鐘？我保證唔硬銷，你朋友唔使買都得。</t>
        </is>
      </c>
    </row>
    <row r="24" ht="48" customHeight="1">
      <c r="A24" s="3" t="inlineStr">
        <is>
          <t>Thank referrer</t>
        </is>
      </c>
      <c r="B24" s="44" t="inlineStr">
        <is>
          <t>多謝你介紹XX俾我！我已經聯絡咗，會好好跟進。有你介紹真係幫到我好多。</t>
        </is>
      </c>
    </row>
    <row r="25" ht="48" customHeight="1">
      <c r="A25" s="3" t="inlineStr">
        <is>
          <t>Birthday + referral</t>
        </is>
      </c>
      <c r="B25" s="44" t="inlineStr">
        <is>
          <t>生日快乐/生日快樂！🎂 希望新一年身體健健康康。如果身边有朋友想了解保险，随时话我知，我会照顾好你的朋友。</t>
        </is>
      </c>
    </row>
    <row r="28">
      <c r="A28" s="17" t="inlineStr">
        <is>
          <t>Referral log (write each new intro)</t>
        </is>
      </c>
    </row>
    <row r="29">
      <c r="A29" s="23" t="inlineStr">
        <is>
          <t>Date</t>
        </is>
      </c>
      <c r="B29" s="23" t="inlineStr">
        <is>
          <t>Referrer</t>
        </is>
      </c>
      <c r="C29" s="23" t="inlineStr">
        <is>
          <t>New prospect</t>
        </is>
      </c>
      <c r="D29" s="23" t="inlineStr">
        <is>
          <t>Phone</t>
        </is>
      </c>
      <c r="E29" s="23" t="inlineStr">
        <is>
          <t>Status</t>
        </is>
      </c>
      <c r="F29" s="23" t="inlineStr">
        <is>
          <t>Notes</t>
        </is>
      </c>
    </row>
    <row r="30">
      <c r="A30" s="45" t="n"/>
      <c r="B30" s="46" t="n"/>
      <c r="C30" s="46" t="n"/>
      <c r="D30" s="46" t="n"/>
      <c r="E30" s="46" t="n"/>
      <c r="F30" s="46" t="n"/>
    </row>
    <row r="31">
      <c r="A31" s="45" t="n"/>
      <c r="B31" s="46" t="n"/>
      <c r="C31" s="46" t="n"/>
      <c r="D31" s="46" t="n"/>
      <c r="E31" s="46" t="n"/>
      <c r="F31" s="46" t="n"/>
    </row>
    <row r="32">
      <c r="A32" s="45" t="n"/>
      <c r="B32" s="46" t="n"/>
      <c r="C32" s="46" t="n"/>
      <c r="D32" s="46" t="n"/>
      <c r="E32" s="46" t="n"/>
      <c r="F32" s="46" t="n"/>
    </row>
    <row r="33">
      <c r="A33" s="45" t="n"/>
      <c r="B33" s="46" t="n"/>
      <c r="C33" s="46" t="n"/>
      <c r="D33" s="46" t="n"/>
      <c r="E33" s="46" t="n"/>
      <c r="F33" s="46" t="n"/>
    </row>
    <row r="34">
      <c r="A34" s="45" t="n"/>
      <c r="B34" s="46" t="n"/>
      <c r="C34" s="46" t="n"/>
      <c r="D34" s="46" t="n"/>
      <c r="E34" s="46" t="n"/>
      <c r="F34" s="46" t="n"/>
    </row>
    <row r="35">
      <c r="A35" s="45" t="n"/>
      <c r="B35" s="46" t="n"/>
      <c r="C35" s="46" t="n"/>
      <c r="D35" s="46" t="n"/>
      <c r="E35" s="46" t="n"/>
      <c r="F35" s="46" t="n"/>
    </row>
    <row r="36">
      <c r="A36" s="45" t="n"/>
      <c r="B36" s="46" t="n"/>
      <c r="C36" s="46" t="n"/>
      <c r="D36" s="46" t="n"/>
      <c r="E36" s="46" t="n"/>
      <c r="F36" s="46" t="n"/>
    </row>
    <row r="37">
      <c r="A37" s="45" t="n"/>
      <c r="B37" s="46" t="n"/>
      <c r="C37" s="46" t="n"/>
      <c r="D37" s="46" t="n"/>
      <c r="E37" s="46" t="n"/>
      <c r="F37" s="46" t="n"/>
    </row>
    <row r="38">
      <c r="A38" s="45" t="n"/>
      <c r="B38" s="46" t="n"/>
      <c r="C38" s="46" t="n"/>
      <c r="D38" s="46" t="n"/>
      <c r="E38" s="46" t="n"/>
      <c r="F38" s="46" t="n"/>
    </row>
    <row r="39">
      <c r="A39" s="45" t="n"/>
      <c r="B39" s="46" t="n"/>
      <c r="C39" s="46" t="n"/>
      <c r="D39" s="46" t="n"/>
      <c r="E39" s="46" t="n"/>
      <c r="F39" s="46" t="n"/>
    </row>
    <row r="40">
      <c r="A40" s="45" t="n"/>
      <c r="B40" s="46" t="n"/>
      <c r="C40" s="46" t="n"/>
      <c r="D40" s="46" t="n"/>
      <c r="E40" s="46" t="n"/>
      <c r="F40" s="46" t="n"/>
    </row>
    <row r="41">
      <c r="A41" s="45" t="n"/>
      <c r="B41" s="46" t="n"/>
      <c r="C41" s="46" t="n"/>
      <c r="D41" s="46" t="n"/>
      <c r="E41" s="46" t="n"/>
      <c r="F41" s="46" t="n"/>
    </row>
    <row r="42">
      <c r="A42" s="45" t="n"/>
      <c r="B42" s="46" t="n"/>
      <c r="C42" s="46" t="n"/>
      <c r="D42" s="46" t="n"/>
      <c r="E42" s="46" t="n"/>
      <c r="F42" s="46" t="n"/>
    </row>
    <row r="43">
      <c r="A43" s="45" t="n"/>
      <c r="B43" s="46" t="n"/>
      <c r="C43" s="46" t="n"/>
      <c r="D43" s="46" t="n"/>
      <c r="E43" s="46" t="n"/>
      <c r="F43" s="46" t="n"/>
    </row>
    <row r="44">
      <c r="A44" s="45" t="n"/>
      <c r="B44" s="46" t="n"/>
      <c r="C44" s="46" t="n"/>
      <c r="D44" s="46" t="n"/>
      <c r="E44" s="46" t="n"/>
      <c r="F44" s="46" t="n"/>
    </row>
  </sheetData>
  <mergeCells count="8">
    <mergeCell ref="A1:H1"/>
    <mergeCell ref="A4:H4"/>
    <mergeCell ref="A7:H7"/>
    <mergeCell ref="B24:H24"/>
    <mergeCell ref="B25:H25"/>
    <mergeCell ref="A5:H5"/>
    <mergeCell ref="A6:H6"/>
    <mergeCell ref="B23:H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64A6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3" max="3"/>
    <col width="12" customWidth="1" min="4" max="4"/>
    <col width="28" customWidth="1" min="8" max="8"/>
  </cols>
  <sheetData>
    <row r="1" ht="34" customHeight="1">
      <c r="A1" s="47" t="inlineStr">
        <is>
          <t>Birthdays — next 30 days (auto from Clients sheet)</t>
        </is>
      </c>
    </row>
    <row r="2">
      <c r="A2" t="inlineStr">
        <is>
          <t>Tip: Enter Birthday on Clients tab (column W). Days to Birthday updates automatically.</t>
        </is>
      </c>
    </row>
    <row r="3">
      <c r="A3" s="23" t="inlineStr">
        <is>
          <t>Name</t>
        </is>
      </c>
      <c r="B3" s="23" t="inlineStr">
        <is>
          <t>Nickname</t>
        </is>
      </c>
      <c r="C3" s="23" t="inlineStr">
        <is>
          <t>Phone</t>
        </is>
      </c>
      <c r="D3" s="23" t="inlineStr">
        <is>
          <t>Birthday</t>
        </is>
      </c>
      <c r="E3" s="23" t="inlineStr">
        <is>
          <t>Days Left</t>
        </is>
      </c>
      <c r="F3" s="23" t="inlineStr">
        <is>
          <t>Category</t>
        </is>
      </c>
      <c r="G3" s="23" t="inlineStr">
        <is>
          <t>Referral Tier</t>
        </is>
      </c>
      <c r="H3" s="23" t="inlineStr">
        <is>
          <t>Suggested Action</t>
        </is>
      </c>
    </row>
    <row r="4">
      <c r="A4" s="43">
        <f>IFERROR(INDEX(Clients!$G$3:$G$122,SMALL(IF(Clients!$Y$3:$Y$122="YES",ROW(Clients!$Y$3:$Y$122)-ROW(Clients!$G$3)+1),1)),"")</f>
        <v/>
      </c>
      <c r="B4" s="43">
        <f>IF($A4="","",INDEX(Clients!$H$3:$H$122,MATCH($A4,Clients!$G$3:$G$122,0)))</f>
        <v/>
      </c>
      <c r="C4" s="43">
        <f>IF($A4="","",INDEX(Clients!$I$3:$I$122,MATCH($A4,Clients!$G$3:$G$122,0)))</f>
        <v/>
      </c>
      <c r="D4" s="48">
        <f>IF($A4="","",INDEX(Clients!$W$3:$W$122,MATCH($A4,Clients!$G$3:$G$122,0)))</f>
        <v/>
      </c>
      <c r="E4" s="43">
        <f>IF($A4="","",INDEX(Clients!$X$3:$X$122,MATCH($A4,Clients!$G$3:$G$122,0)))</f>
        <v/>
      </c>
      <c r="F4" s="43">
        <f>IF($A4="","",INDEX(Clients!$B$3:$B$122,MATCH($A4,Clients!$G$3:$G$122,0)))</f>
        <v/>
      </c>
      <c r="G4" s="43">
        <f>IF($A4="","",INDEX(Clients!$Z$3:$Z$122,MATCH($A4,Clients!$G$3:$G$122,0)))</f>
        <v/>
      </c>
      <c r="H4" s="43">
        <f>IF($A4="","",IF($G4="Champion","Birthday WhatsApp + referral ask","Birthday WhatsApp only"))</f>
        <v/>
      </c>
    </row>
    <row r="5">
      <c r="A5" s="43">
        <f>IFERROR(INDEX(Clients!$G$3:$G$122,SMALL(IF(Clients!$Y$3:$Y$122="YES",ROW(Clients!$Y$3:$Y$122)-ROW(Clients!$G$3)+1),2)),"")</f>
        <v/>
      </c>
      <c r="B5" s="43">
        <f>IF($A5="","",INDEX(Clients!$H$3:$H$122,MATCH($A5,Clients!$G$3:$G$122,0)))</f>
        <v/>
      </c>
      <c r="C5" s="43">
        <f>IF($A5="","",INDEX(Clients!$I$3:$I$122,MATCH($A5,Clients!$G$3:$G$122,0)))</f>
        <v/>
      </c>
      <c r="D5" s="48">
        <f>IF($A5="","",INDEX(Clients!$W$3:$W$122,MATCH($A5,Clients!$G$3:$G$122,0)))</f>
        <v/>
      </c>
      <c r="E5" s="43">
        <f>IF($A5="","",INDEX(Clients!$X$3:$X$122,MATCH($A5,Clients!$G$3:$G$122,0)))</f>
        <v/>
      </c>
      <c r="F5" s="43">
        <f>IF($A5="","",INDEX(Clients!$B$3:$B$122,MATCH($A5,Clients!$G$3:$G$122,0)))</f>
        <v/>
      </c>
      <c r="G5" s="43">
        <f>IF($A5="","",INDEX(Clients!$Z$3:$Z$122,MATCH($A5,Clients!$G$3:$G$122,0)))</f>
        <v/>
      </c>
      <c r="H5" s="43">
        <f>IF($A5="","",IF($G5="Champion","Birthday WhatsApp + referral ask","Birthday WhatsApp only"))</f>
        <v/>
      </c>
    </row>
    <row r="6">
      <c r="A6" s="43">
        <f>IFERROR(INDEX(Clients!$G$3:$G$122,SMALL(IF(Clients!$Y$3:$Y$122="YES",ROW(Clients!$Y$3:$Y$122)-ROW(Clients!$G$3)+1),3)),"")</f>
        <v/>
      </c>
      <c r="B6" s="43">
        <f>IF($A6="","",INDEX(Clients!$H$3:$H$122,MATCH($A6,Clients!$G$3:$G$122,0)))</f>
        <v/>
      </c>
      <c r="C6" s="43">
        <f>IF($A6="","",INDEX(Clients!$I$3:$I$122,MATCH($A6,Clients!$G$3:$G$122,0)))</f>
        <v/>
      </c>
      <c r="D6" s="48">
        <f>IF($A6="","",INDEX(Clients!$W$3:$W$122,MATCH($A6,Clients!$G$3:$G$122,0)))</f>
        <v/>
      </c>
      <c r="E6" s="43">
        <f>IF($A6="","",INDEX(Clients!$X$3:$X$122,MATCH($A6,Clients!$G$3:$G$122,0)))</f>
        <v/>
      </c>
      <c r="F6" s="43">
        <f>IF($A6="","",INDEX(Clients!$B$3:$B$122,MATCH($A6,Clients!$G$3:$G$122,0)))</f>
        <v/>
      </c>
      <c r="G6" s="43">
        <f>IF($A6="","",INDEX(Clients!$Z$3:$Z$122,MATCH($A6,Clients!$G$3:$G$122,0)))</f>
        <v/>
      </c>
      <c r="H6" s="43">
        <f>IF($A6="","",IF($G6="Champion","Birthday WhatsApp + referral ask","Birthday WhatsApp only"))</f>
        <v/>
      </c>
    </row>
    <row r="7">
      <c r="A7" s="43">
        <f>IFERROR(INDEX(Clients!$G$3:$G$122,SMALL(IF(Clients!$Y$3:$Y$122="YES",ROW(Clients!$Y$3:$Y$122)-ROW(Clients!$G$3)+1),4)),"")</f>
        <v/>
      </c>
      <c r="B7" s="43">
        <f>IF($A7="","",INDEX(Clients!$H$3:$H$122,MATCH($A7,Clients!$G$3:$G$122,0)))</f>
        <v/>
      </c>
      <c r="C7" s="43">
        <f>IF($A7="","",INDEX(Clients!$I$3:$I$122,MATCH($A7,Clients!$G$3:$G$122,0)))</f>
        <v/>
      </c>
      <c r="D7" s="48">
        <f>IF($A7="","",INDEX(Clients!$W$3:$W$122,MATCH($A7,Clients!$G$3:$G$122,0)))</f>
        <v/>
      </c>
      <c r="E7" s="43">
        <f>IF($A7="","",INDEX(Clients!$X$3:$X$122,MATCH($A7,Clients!$G$3:$G$122,0)))</f>
        <v/>
      </c>
      <c r="F7" s="43">
        <f>IF($A7="","",INDEX(Clients!$B$3:$B$122,MATCH($A7,Clients!$G$3:$G$122,0)))</f>
        <v/>
      </c>
      <c r="G7" s="43">
        <f>IF($A7="","",INDEX(Clients!$Z$3:$Z$122,MATCH($A7,Clients!$G$3:$G$122,0)))</f>
        <v/>
      </c>
      <c r="H7" s="43">
        <f>IF($A7="","",IF($G7="Champion","Birthday WhatsApp + referral ask","Birthday WhatsApp only"))</f>
        <v/>
      </c>
    </row>
    <row r="8">
      <c r="A8" s="43">
        <f>IFERROR(INDEX(Clients!$G$3:$G$122,SMALL(IF(Clients!$Y$3:$Y$122="YES",ROW(Clients!$Y$3:$Y$122)-ROW(Clients!$G$3)+1),5)),"")</f>
        <v/>
      </c>
      <c r="B8" s="43">
        <f>IF($A8="","",INDEX(Clients!$H$3:$H$122,MATCH($A8,Clients!$G$3:$G$122,0)))</f>
        <v/>
      </c>
      <c r="C8" s="43">
        <f>IF($A8="","",INDEX(Clients!$I$3:$I$122,MATCH($A8,Clients!$G$3:$G$122,0)))</f>
        <v/>
      </c>
      <c r="D8" s="48">
        <f>IF($A8="","",INDEX(Clients!$W$3:$W$122,MATCH($A8,Clients!$G$3:$G$122,0)))</f>
        <v/>
      </c>
      <c r="E8" s="43">
        <f>IF($A8="","",INDEX(Clients!$X$3:$X$122,MATCH($A8,Clients!$G$3:$G$122,0)))</f>
        <v/>
      </c>
      <c r="F8" s="43">
        <f>IF($A8="","",INDEX(Clients!$B$3:$B$122,MATCH($A8,Clients!$G$3:$G$122,0)))</f>
        <v/>
      </c>
      <c r="G8" s="43">
        <f>IF($A8="","",INDEX(Clients!$Z$3:$Z$122,MATCH($A8,Clients!$G$3:$G$122,0)))</f>
        <v/>
      </c>
      <c r="H8" s="43">
        <f>IF($A8="","",IF($G8="Champion","Birthday WhatsApp + referral ask","Birthday WhatsApp only"))</f>
        <v/>
      </c>
    </row>
    <row r="9">
      <c r="A9" s="43">
        <f>IFERROR(INDEX(Clients!$G$3:$G$122,SMALL(IF(Clients!$Y$3:$Y$122="YES",ROW(Clients!$Y$3:$Y$122)-ROW(Clients!$G$3)+1),6)),"")</f>
        <v/>
      </c>
      <c r="B9" s="43">
        <f>IF($A9="","",INDEX(Clients!$H$3:$H$122,MATCH($A9,Clients!$G$3:$G$122,0)))</f>
        <v/>
      </c>
      <c r="C9" s="43">
        <f>IF($A9="","",INDEX(Clients!$I$3:$I$122,MATCH($A9,Clients!$G$3:$G$122,0)))</f>
        <v/>
      </c>
      <c r="D9" s="48">
        <f>IF($A9="","",INDEX(Clients!$W$3:$W$122,MATCH($A9,Clients!$G$3:$G$122,0)))</f>
        <v/>
      </c>
      <c r="E9" s="43">
        <f>IF($A9="","",INDEX(Clients!$X$3:$X$122,MATCH($A9,Clients!$G$3:$G$122,0)))</f>
        <v/>
      </c>
      <c r="F9" s="43">
        <f>IF($A9="","",INDEX(Clients!$B$3:$B$122,MATCH($A9,Clients!$G$3:$G$122,0)))</f>
        <v/>
      </c>
      <c r="G9" s="43">
        <f>IF($A9="","",INDEX(Clients!$Z$3:$Z$122,MATCH($A9,Clients!$G$3:$G$122,0)))</f>
        <v/>
      </c>
      <c r="H9" s="43">
        <f>IF($A9="","",IF($G9="Champion","Birthday WhatsApp + referral ask","Birthday WhatsApp only"))</f>
        <v/>
      </c>
    </row>
    <row r="10">
      <c r="A10" s="43">
        <f>IFERROR(INDEX(Clients!$G$3:$G$122,SMALL(IF(Clients!$Y$3:$Y$122="YES",ROW(Clients!$Y$3:$Y$122)-ROW(Clients!$G$3)+1),7)),"")</f>
        <v/>
      </c>
      <c r="B10" s="43">
        <f>IF($A10="","",INDEX(Clients!$H$3:$H$122,MATCH($A10,Clients!$G$3:$G$122,0)))</f>
        <v/>
      </c>
      <c r="C10" s="43">
        <f>IF($A10="","",INDEX(Clients!$I$3:$I$122,MATCH($A10,Clients!$G$3:$G$122,0)))</f>
        <v/>
      </c>
      <c r="D10" s="48">
        <f>IF($A10="","",INDEX(Clients!$W$3:$W$122,MATCH($A10,Clients!$G$3:$G$122,0)))</f>
        <v/>
      </c>
      <c r="E10" s="43">
        <f>IF($A10="","",INDEX(Clients!$X$3:$X$122,MATCH($A10,Clients!$G$3:$G$122,0)))</f>
        <v/>
      </c>
      <c r="F10" s="43">
        <f>IF($A10="","",INDEX(Clients!$B$3:$B$122,MATCH($A10,Clients!$G$3:$G$122,0)))</f>
        <v/>
      </c>
      <c r="G10" s="43">
        <f>IF($A10="","",INDEX(Clients!$Z$3:$Z$122,MATCH($A10,Clients!$G$3:$G$122,0)))</f>
        <v/>
      </c>
      <c r="H10" s="43">
        <f>IF($A10="","",IF($G10="Champion","Birthday WhatsApp + referral ask","Birthday WhatsApp only"))</f>
        <v/>
      </c>
    </row>
    <row r="11">
      <c r="A11" s="43">
        <f>IFERROR(INDEX(Clients!$G$3:$G$122,SMALL(IF(Clients!$Y$3:$Y$122="YES",ROW(Clients!$Y$3:$Y$122)-ROW(Clients!$G$3)+1),8)),"")</f>
        <v/>
      </c>
      <c r="B11" s="43">
        <f>IF($A11="","",INDEX(Clients!$H$3:$H$122,MATCH($A11,Clients!$G$3:$G$122,0)))</f>
        <v/>
      </c>
      <c r="C11" s="43">
        <f>IF($A11="","",INDEX(Clients!$I$3:$I$122,MATCH($A11,Clients!$G$3:$G$122,0)))</f>
        <v/>
      </c>
      <c r="D11" s="48">
        <f>IF($A11="","",INDEX(Clients!$W$3:$W$122,MATCH($A11,Clients!$G$3:$G$122,0)))</f>
        <v/>
      </c>
      <c r="E11" s="43">
        <f>IF($A11="","",INDEX(Clients!$X$3:$X$122,MATCH($A11,Clients!$G$3:$G$122,0)))</f>
        <v/>
      </c>
      <c r="F11" s="43">
        <f>IF($A11="","",INDEX(Clients!$B$3:$B$122,MATCH($A11,Clients!$G$3:$G$122,0)))</f>
        <v/>
      </c>
      <c r="G11" s="43">
        <f>IF($A11="","",INDEX(Clients!$Z$3:$Z$122,MATCH($A11,Clients!$G$3:$G$122,0)))</f>
        <v/>
      </c>
      <c r="H11" s="43">
        <f>IF($A11="","",IF($G11="Champion","Birthday WhatsApp + referral ask","Birthday WhatsApp only"))</f>
        <v/>
      </c>
    </row>
    <row r="12">
      <c r="A12" s="43">
        <f>IFERROR(INDEX(Clients!$G$3:$G$122,SMALL(IF(Clients!$Y$3:$Y$122="YES",ROW(Clients!$Y$3:$Y$122)-ROW(Clients!$G$3)+1),9)),"")</f>
        <v/>
      </c>
      <c r="B12" s="43">
        <f>IF($A12="","",INDEX(Clients!$H$3:$H$122,MATCH($A12,Clients!$G$3:$G$122,0)))</f>
        <v/>
      </c>
      <c r="C12" s="43">
        <f>IF($A12="","",INDEX(Clients!$I$3:$I$122,MATCH($A12,Clients!$G$3:$G$122,0)))</f>
        <v/>
      </c>
      <c r="D12" s="48">
        <f>IF($A12="","",INDEX(Clients!$W$3:$W$122,MATCH($A12,Clients!$G$3:$G$122,0)))</f>
        <v/>
      </c>
      <c r="E12" s="43">
        <f>IF($A12="","",INDEX(Clients!$X$3:$X$122,MATCH($A12,Clients!$G$3:$G$122,0)))</f>
        <v/>
      </c>
      <c r="F12" s="43">
        <f>IF($A12="","",INDEX(Clients!$B$3:$B$122,MATCH($A12,Clients!$G$3:$G$122,0)))</f>
        <v/>
      </c>
      <c r="G12" s="43">
        <f>IF($A12="","",INDEX(Clients!$Z$3:$Z$122,MATCH($A12,Clients!$G$3:$G$122,0)))</f>
        <v/>
      </c>
      <c r="H12" s="43">
        <f>IF($A12="","",IF($G12="Champion","Birthday WhatsApp + referral ask","Birthday WhatsApp only"))</f>
        <v/>
      </c>
    </row>
    <row r="13">
      <c r="A13" s="43">
        <f>IFERROR(INDEX(Clients!$G$3:$G$122,SMALL(IF(Clients!$Y$3:$Y$122="YES",ROW(Clients!$Y$3:$Y$122)-ROW(Clients!$G$3)+1),10)),"")</f>
        <v/>
      </c>
      <c r="B13" s="43">
        <f>IF($A13="","",INDEX(Clients!$H$3:$H$122,MATCH($A13,Clients!$G$3:$G$122,0)))</f>
        <v/>
      </c>
      <c r="C13" s="43">
        <f>IF($A13="","",INDEX(Clients!$I$3:$I$122,MATCH($A13,Clients!$G$3:$G$122,0)))</f>
        <v/>
      </c>
      <c r="D13" s="48">
        <f>IF($A13="","",INDEX(Clients!$W$3:$W$122,MATCH($A13,Clients!$G$3:$G$122,0)))</f>
        <v/>
      </c>
      <c r="E13" s="43">
        <f>IF($A13="","",INDEX(Clients!$X$3:$X$122,MATCH($A13,Clients!$G$3:$G$122,0)))</f>
        <v/>
      </c>
      <c r="F13" s="43">
        <f>IF($A13="","",INDEX(Clients!$B$3:$B$122,MATCH($A13,Clients!$G$3:$G$122,0)))</f>
        <v/>
      </c>
      <c r="G13" s="43">
        <f>IF($A13="","",INDEX(Clients!$Z$3:$Z$122,MATCH($A13,Clients!$G$3:$G$122,0)))</f>
        <v/>
      </c>
      <c r="H13" s="43">
        <f>IF($A13="","",IF($G13="Champion","Birthday WhatsApp + referral ask","Birthday WhatsApp only"))</f>
        <v/>
      </c>
    </row>
    <row r="14">
      <c r="A14" s="43">
        <f>IFERROR(INDEX(Clients!$G$3:$G$122,SMALL(IF(Clients!$Y$3:$Y$122="YES",ROW(Clients!$Y$3:$Y$122)-ROW(Clients!$G$3)+1),11)),"")</f>
        <v/>
      </c>
      <c r="B14" s="43">
        <f>IF($A14="","",INDEX(Clients!$H$3:$H$122,MATCH($A14,Clients!$G$3:$G$122,0)))</f>
        <v/>
      </c>
      <c r="C14" s="43">
        <f>IF($A14="","",INDEX(Clients!$I$3:$I$122,MATCH($A14,Clients!$G$3:$G$122,0)))</f>
        <v/>
      </c>
      <c r="D14" s="48">
        <f>IF($A14="","",INDEX(Clients!$W$3:$W$122,MATCH($A14,Clients!$G$3:$G$122,0)))</f>
        <v/>
      </c>
      <c r="E14" s="43">
        <f>IF($A14="","",INDEX(Clients!$X$3:$X$122,MATCH($A14,Clients!$G$3:$G$122,0)))</f>
        <v/>
      </c>
      <c r="F14" s="43">
        <f>IF($A14="","",INDEX(Clients!$B$3:$B$122,MATCH($A14,Clients!$G$3:$G$122,0)))</f>
        <v/>
      </c>
      <c r="G14" s="43">
        <f>IF($A14="","",INDEX(Clients!$Z$3:$Z$122,MATCH($A14,Clients!$G$3:$G$122,0)))</f>
        <v/>
      </c>
      <c r="H14" s="43">
        <f>IF($A14="","",IF($G14="Champion","Birthday WhatsApp + referral ask","Birthday WhatsApp only"))</f>
        <v/>
      </c>
    </row>
    <row r="15">
      <c r="A15" s="43">
        <f>IFERROR(INDEX(Clients!$G$3:$G$122,SMALL(IF(Clients!$Y$3:$Y$122="YES",ROW(Clients!$Y$3:$Y$122)-ROW(Clients!$G$3)+1),12)),"")</f>
        <v/>
      </c>
      <c r="B15" s="43">
        <f>IF($A15="","",INDEX(Clients!$H$3:$H$122,MATCH($A15,Clients!$G$3:$G$122,0)))</f>
        <v/>
      </c>
      <c r="C15" s="43">
        <f>IF($A15="","",INDEX(Clients!$I$3:$I$122,MATCH($A15,Clients!$G$3:$G$122,0)))</f>
        <v/>
      </c>
      <c r="D15" s="48">
        <f>IF($A15="","",INDEX(Clients!$W$3:$W$122,MATCH($A15,Clients!$G$3:$G$122,0)))</f>
        <v/>
      </c>
      <c r="E15" s="43">
        <f>IF($A15="","",INDEX(Clients!$X$3:$X$122,MATCH($A15,Clients!$G$3:$G$122,0)))</f>
        <v/>
      </c>
      <c r="F15" s="43">
        <f>IF($A15="","",INDEX(Clients!$B$3:$B$122,MATCH($A15,Clients!$G$3:$G$122,0)))</f>
        <v/>
      </c>
      <c r="G15" s="43">
        <f>IF($A15="","",INDEX(Clients!$Z$3:$Z$122,MATCH($A15,Clients!$G$3:$G$122,0)))</f>
        <v/>
      </c>
      <c r="H15" s="43">
        <f>IF($A15="","",IF($G15="Champion","Birthday WhatsApp + referral ask","Birthday WhatsApp only"))</f>
        <v/>
      </c>
    </row>
    <row r="16">
      <c r="A16" s="43">
        <f>IFERROR(INDEX(Clients!$G$3:$G$122,SMALL(IF(Clients!$Y$3:$Y$122="YES",ROW(Clients!$Y$3:$Y$122)-ROW(Clients!$G$3)+1),13)),"")</f>
        <v/>
      </c>
      <c r="B16" s="43">
        <f>IF($A16="","",INDEX(Clients!$H$3:$H$122,MATCH($A16,Clients!$G$3:$G$122,0)))</f>
        <v/>
      </c>
      <c r="C16" s="43">
        <f>IF($A16="","",INDEX(Clients!$I$3:$I$122,MATCH($A16,Clients!$G$3:$G$122,0)))</f>
        <v/>
      </c>
      <c r="D16" s="48">
        <f>IF($A16="","",INDEX(Clients!$W$3:$W$122,MATCH($A16,Clients!$G$3:$G$122,0)))</f>
        <v/>
      </c>
      <c r="E16" s="43">
        <f>IF($A16="","",INDEX(Clients!$X$3:$X$122,MATCH($A16,Clients!$G$3:$G$122,0)))</f>
        <v/>
      </c>
      <c r="F16" s="43">
        <f>IF($A16="","",INDEX(Clients!$B$3:$B$122,MATCH($A16,Clients!$G$3:$G$122,0)))</f>
        <v/>
      </c>
      <c r="G16" s="43">
        <f>IF($A16="","",INDEX(Clients!$Z$3:$Z$122,MATCH($A16,Clients!$G$3:$G$122,0)))</f>
        <v/>
      </c>
      <c r="H16" s="43">
        <f>IF($A16="","",IF($G16="Champion","Birthday WhatsApp + referral ask","Birthday WhatsApp only"))</f>
        <v/>
      </c>
    </row>
    <row r="17">
      <c r="A17" s="43">
        <f>IFERROR(INDEX(Clients!$G$3:$G$122,SMALL(IF(Clients!$Y$3:$Y$122="YES",ROW(Clients!$Y$3:$Y$122)-ROW(Clients!$G$3)+1),14)),"")</f>
        <v/>
      </c>
      <c r="B17" s="43">
        <f>IF($A17="","",INDEX(Clients!$H$3:$H$122,MATCH($A17,Clients!$G$3:$G$122,0)))</f>
        <v/>
      </c>
      <c r="C17" s="43">
        <f>IF($A17="","",INDEX(Clients!$I$3:$I$122,MATCH($A17,Clients!$G$3:$G$122,0)))</f>
        <v/>
      </c>
      <c r="D17" s="48">
        <f>IF($A17="","",INDEX(Clients!$W$3:$W$122,MATCH($A17,Clients!$G$3:$G$122,0)))</f>
        <v/>
      </c>
      <c r="E17" s="43">
        <f>IF($A17="","",INDEX(Clients!$X$3:$X$122,MATCH($A17,Clients!$G$3:$G$122,0)))</f>
        <v/>
      </c>
      <c r="F17" s="43">
        <f>IF($A17="","",INDEX(Clients!$B$3:$B$122,MATCH($A17,Clients!$G$3:$G$122,0)))</f>
        <v/>
      </c>
      <c r="G17" s="43">
        <f>IF($A17="","",INDEX(Clients!$Z$3:$Z$122,MATCH($A17,Clients!$G$3:$G$122,0)))</f>
        <v/>
      </c>
      <c r="H17" s="43">
        <f>IF($A17="","",IF($G17="Champion","Birthday WhatsApp + referral ask","Birthday WhatsApp only"))</f>
        <v/>
      </c>
    </row>
    <row r="18">
      <c r="A18" s="43">
        <f>IFERROR(INDEX(Clients!$G$3:$G$122,SMALL(IF(Clients!$Y$3:$Y$122="YES",ROW(Clients!$Y$3:$Y$122)-ROW(Clients!$G$3)+1),15)),"")</f>
        <v/>
      </c>
      <c r="B18" s="43">
        <f>IF($A18="","",INDEX(Clients!$H$3:$H$122,MATCH($A18,Clients!$G$3:$G$122,0)))</f>
        <v/>
      </c>
      <c r="C18" s="43">
        <f>IF($A18="","",INDEX(Clients!$I$3:$I$122,MATCH($A18,Clients!$G$3:$G$122,0)))</f>
        <v/>
      </c>
      <c r="D18" s="48">
        <f>IF($A18="","",INDEX(Clients!$W$3:$W$122,MATCH($A18,Clients!$G$3:$G$122,0)))</f>
        <v/>
      </c>
      <c r="E18" s="43">
        <f>IF($A18="","",INDEX(Clients!$X$3:$X$122,MATCH($A18,Clients!$G$3:$G$122,0)))</f>
        <v/>
      </c>
      <c r="F18" s="43">
        <f>IF($A18="","",INDEX(Clients!$B$3:$B$122,MATCH($A18,Clients!$G$3:$G$122,0)))</f>
        <v/>
      </c>
      <c r="G18" s="43">
        <f>IF($A18="","",INDEX(Clients!$Z$3:$Z$122,MATCH($A18,Clients!$G$3:$G$122,0)))</f>
        <v/>
      </c>
      <c r="H18" s="43">
        <f>IF($A18="","",IF($G18="Champion","Birthday WhatsApp + referral ask","Birthday WhatsApp only"))</f>
        <v/>
      </c>
    </row>
    <row r="19">
      <c r="A19" s="43">
        <f>IFERROR(INDEX(Clients!$G$3:$G$122,SMALL(IF(Clients!$Y$3:$Y$122="YES",ROW(Clients!$Y$3:$Y$122)-ROW(Clients!$G$3)+1),16)),"")</f>
        <v/>
      </c>
      <c r="B19" s="43">
        <f>IF($A19="","",INDEX(Clients!$H$3:$H$122,MATCH($A19,Clients!$G$3:$G$122,0)))</f>
        <v/>
      </c>
      <c r="C19" s="43">
        <f>IF($A19="","",INDEX(Clients!$I$3:$I$122,MATCH($A19,Clients!$G$3:$G$122,0)))</f>
        <v/>
      </c>
      <c r="D19" s="48">
        <f>IF($A19="","",INDEX(Clients!$W$3:$W$122,MATCH($A19,Clients!$G$3:$G$122,0)))</f>
        <v/>
      </c>
      <c r="E19" s="43">
        <f>IF($A19="","",INDEX(Clients!$X$3:$X$122,MATCH($A19,Clients!$G$3:$G$122,0)))</f>
        <v/>
      </c>
      <c r="F19" s="43">
        <f>IF($A19="","",INDEX(Clients!$B$3:$B$122,MATCH($A19,Clients!$G$3:$G$122,0)))</f>
        <v/>
      </c>
      <c r="G19" s="43">
        <f>IF($A19="","",INDEX(Clients!$Z$3:$Z$122,MATCH($A19,Clients!$G$3:$G$122,0)))</f>
        <v/>
      </c>
      <c r="H19" s="43">
        <f>IF($A19="","",IF($G19="Champion","Birthday WhatsApp + referral ask","Birthday WhatsApp only"))</f>
        <v/>
      </c>
    </row>
    <row r="20">
      <c r="A20" s="43">
        <f>IFERROR(INDEX(Clients!$G$3:$G$122,SMALL(IF(Clients!$Y$3:$Y$122="YES",ROW(Clients!$Y$3:$Y$122)-ROW(Clients!$G$3)+1),17)),"")</f>
        <v/>
      </c>
      <c r="B20" s="43">
        <f>IF($A20="","",INDEX(Clients!$H$3:$H$122,MATCH($A20,Clients!$G$3:$G$122,0)))</f>
        <v/>
      </c>
      <c r="C20" s="43">
        <f>IF($A20="","",INDEX(Clients!$I$3:$I$122,MATCH($A20,Clients!$G$3:$G$122,0)))</f>
        <v/>
      </c>
      <c r="D20" s="48">
        <f>IF($A20="","",INDEX(Clients!$W$3:$W$122,MATCH($A20,Clients!$G$3:$G$122,0)))</f>
        <v/>
      </c>
      <c r="E20" s="43">
        <f>IF($A20="","",INDEX(Clients!$X$3:$X$122,MATCH($A20,Clients!$G$3:$G$122,0)))</f>
        <v/>
      </c>
      <c r="F20" s="43">
        <f>IF($A20="","",INDEX(Clients!$B$3:$B$122,MATCH($A20,Clients!$G$3:$G$122,0)))</f>
        <v/>
      </c>
      <c r="G20" s="43">
        <f>IF($A20="","",INDEX(Clients!$Z$3:$Z$122,MATCH($A20,Clients!$G$3:$G$122,0)))</f>
        <v/>
      </c>
      <c r="H20" s="43">
        <f>IF($A20="","",IF($G20="Champion","Birthday WhatsApp + referral ask","Birthday WhatsApp only"))</f>
        <v/>
      </c>
    </row>
    <row r="21">
      <c r="A21" s="43">
        <f>IFERROR(INDEX(Clients!$G$3:$G$122,SMALL(IF(Clients!$Y$3:$Y$122="YES",ROW(Clients!$Y$3:$Y$122)-ROW(Clients!$G$3)+1),18)),"")</f>
        <v/>
      </c>
      <c r="B21" s="43">
        <f>IF($A21="","",INDEX(Clients!$H$3:$H$122,MATCH($A21,Clients!$G$3:$G$122,0)))</f>
        <v/>
      </c>
      <c r="C21" s="43">
        <f>IF($A21="","",INDEX(Clients!$I$3:$I$122,MATCH($A21,Clients!$G$3:$G$122,0)))</f>
        <v/>
      </c>
      <c r="D21" s="48">
        <f>IF($A21="","",INDEX(Clients!$W$3:$W$122,MATCH($A21,Clients!$G$3:$G$122,0)))</f>
        <v/>
      </c>
      <c r="E21" s="43">
        <f>IF($A21="","",INDEX(Clients!$X$3:$X$122,MATCH($A21,Clients!$G$3:$G$122,0)))</f>
        <v/>
      </c>
      <c r="F21" s="43">
        <f>IF($A21="","",INDEX(Clients!$B$3:$B$122,MATCH($A21,Clients!$G$3:$G$122,0)))</f>
        <v/>
      </c>
      <c r="G21" s="43">
        <f>IF($A21="","",INDEX(Clients!$Z$3:$Z$122,MATCH($A21,Clients!$G$3:$G$122,0)))</f>
        <v/>
      </c>
      <c r="H21" s="43">
        <f>IF($A21="","",IF($G21="Champion","Birthday WhatsApp + referral ask","Birthday WhatsApp only"))</f>
        <v/>
      </c>
    </row>
    <row r="22">
      <c r="A22" s="43">
        <f>IFERROR(INDEX(Clients!$G$3:$G$122,SMALL(IF(Clients!$Y$3:$Y$122="YES",ROW(Clients!$Y$3:$Y$122)-ROW(Clients!$G$3)+1),19)),"")</f>
        <v/>
      </c>
      <c r="B22" s="43">
        <f>IF($A22="","",INDEX(Clients!$H$3:$H$122,MATCH($A22,Clients!$G$3:$G$122,0)))</f>
        <v/>
      </c>
      <c r="C22" s="43">
        <f>IF($A22="","",INDEX(Clients!$I$3:$I$122,MATCH($A22,Clients!$G$3:$G$122,0)))</f>
        <v/>
      </c>
      <c r="D22" s="48">
        <f>IF($A22="","",INDEX(Clients!$W$3:$W$122,MATCH($A22,Clients!$G$3:$G$122,0)))</f>
        <v/>
      </c>
      <c r="E22" s="43">
        <f>IF($A22="","",INDEX(Clients!$X$3:$X$122,MATCH($A22,Clients!$G$3:$G$122,0)))</f>
        <v/>
      </c>
      <c r="F22" s="43">
        <f>IF($A22="","",INDEX(Clients!$B$3:$B$122,MATCH($A22,Clients!$G$3:$G$122,0)))</f>
        <v/>
      </c>
      <c r="G22" s="43">
        <f>IF($A22="","",INDEX(Clients!$Z$3:$Z$122,MATCH($A22,Clients!$G$3:$G$122,0)))</f>
        <v/>
      </c>
      <c r="H22" s="43">
        <f>IF($A22="","",IF($G22="Champion","Birthday WhatsApp + referral ask","Birthday WhatsApp only"))</f>
        <v/>
      </c>
    </row>
    <row r="23">
      <c r="A23" s="43">
        <f>IFERROR(INDEX(Clients!$G$3:$G$122,SMALL(IF(Clients!$Y$3:$Y$122="YES",ROW(Clients!$Y$3:$Y$122)-ROW(Clients!$G$3)+1),20)),"")</f>
        <v/>
      </c>
      <c r="B23" s="43">
        <f>IF($A23="","",INDEX(Clients!$H$3:$H$122,MATCH($A23,Clients!$G$3:$G$122,0)))</f>
        <v/>
      </c>
      <c r="C23" s="43">
        <f>IF($A23="","",INDEX(Clients!$I$3:$I$122,MATCH($A23,Clients!$G$3:$G$122,0)))</f>
        <v/>
      </c>
      <c r="D23" s="48">
        <f>IF($A23="","",INDEX(Clients!$W$3:$W$122,MATCH($A23,Clients!$G$3:$G$122,0)))</f>
        <v/>
      </c>
      <c r="E23" s="43">
        <f>IF($A23="","",INDEX(Clients!$X$3:$X$122,MATCH($A23,Clients!$G$3:$G$122,0)))</f>
        <v/>
      </c>
      <c r="F23" s="43">
        <f>IF($A23="","",INDEX(Clients!$B$3:$B$122,MATCH($A23,Clients!$G$3:$G$122,0)))</f>
        <v/>
      </c>
      <c r="G23" s="43">
        <f>IF($A23="","",INDEX(Clients!$Z$3:$Z$122,MATCH($A23,Clients!$G$3:$G$122,0)))</f>
        <v/>
      </c>
      <c r="H23" s="43">
        <f>IF($A23="","",IF($G23="Champion","Birthday WhatsApp + referral ask","Birthday WhatsApp only"))</f>
        <v/>
      </c>
    </row>
    <row r="24">
      <c r="A24" s="43">
        <f>IFERROR(INDEX(Clients!$G$3:$G$122,SMALL(IF(Clients!$Y$3:$Y$122="YES",ROW(Clients!$Y$3:$Y$122)-ROW(Clients!$G$3)+1),21)),"")</f>
        <v/>
      </c>
      <c r="B24" s="43">
        <f>IF($A24="","",INDEX(Clients!$H$3:$H$122,MATCH($A24,Clients!$G$3:$G$122,0)))</f>
        <v/>
      </c>
      <c r="C24" s="43">
        <f>IF($A24="","",INDEX(Clients!$I$3:$I$122,MATCH($A24,Clients!$G$3:$G$122,0)))</f>
        <v/>
      </c>
      <c r="D24" s="48">
        <f>IF($A24="","",INDEX(Clients!$W$3:$W$122,MATCH($A24,Clients!$G$3:$G$122,0)))</f>
        <v/>
      </c>
      <c r="E24" s="43">
        <f>IF($A24="","",INDEX(Clients!$X$3:$X$122,MATCH($A24,Clients!$G$3:$G$122,0)))</f>
        <v/>
      </c>
      <c r="F24" s="43">
        <f>IF($A24="","",INDEX(Clients!$B$3:$B$122,MATCH($A24,Clients!$G$3:$G$122,0)))</f>
        <v/>
      </c>
      <c r="G24" s="43">
        <f>IF($A24="","",INDEX(Clients!$Z$3:$Z$122,MATCH($A24,Clients!$G$3:$G$122,0)))</f>
        <v/>
      </c>
      <c r="H24" s="43">
        <f>IF($A24="","",IF($G24="Champion","Birthday WhatsApp + referral ask","Birthday WhatsApp only"))</f>
        <v/>
      </c>
    </row>
    <row r="25">
      <c r="A25" s="43">
        <f>IFERROR(INDEX(Clients!$G$3:$G$122,SMALL(IF(Clients!$Y$3:$Y$122="YES",ROW(Clients!$Y$3:$Y$122)-ROW(Clients!$G$3)+1),22)),"")</f>
        <v/>
      </c>
      <c r="B25" s="43">
        <f>IF($A25="","",INDEX(Clients!$H$3:$H$122,MATCH($A25,Clients!$G$3:$G$122,0)))</f>
        <v/>
      </c>
      <c r="C25" s="43">
        <f>IF($A25="","",INDEX(Clients!$I$3:$I$122,MATCH($A25,Clients!$G$3:$G$122,0)))</f>
        <v/>
      </c>
      <c r="D25" s="48">
        <f>IF($A25="","",INDEX(Clients!$W$3:$W$122,MATCH($A25,Clients!$G$3:$G$122,0)))</f>
        <v/>
      </c>
      <c r="E25" s="43">
        <f>IF($A25="","",INDEX(Clients!$X$3:$X$122,MATCH($A25,Clients!$G$3:$G$122,0)))</f>
        <v/>
      </c>
      <c r="F25" s="43">
        <f>IF($A25="","",INDEX(Clients!$B$3:$B$122,MATCH($A25,Clients!$G$3:$G$122,0)))</f>
        <v/>
      </c>
      <c r="G25" s="43">
        <f>IF($A25="","",INDEX(Clients!$Z$3:$Z$122,MATCH($A25,Clients!$G$3:$G$122,0)))</f>
        <v/>
      </c>
      <c r="H25" s="43">
        <f>IF($A25="","",IF($G25="Champion","Birthday WhatsApp + referral ask","Birthday WhatsApp only"))</f>
        <v/>
      </c>
    </row>
    <row r="26">
      <c r="A26" s="43">
        <f>IFERROR(INDEX(Clients!$G$3:$G$122,SMALL(IF(Clients!$Y$3:$Y$122="YES",ROW(Clients!$Y$3:$Y$122)-ROW(Clients!$G$3)+1),23)),"")</f>
        <v/>
      </c>
      <c r="B26" s="43">
        <f>IF($A26="","",INDEX(Clients!$H$3:$H$122,MATCH($A26,Clients!$G$3:$G$122,0)))</f>
        <v/>
      </c>
      <c r="C26" s="43">
        <f>IF($A26="","",INDEX(Clients!$I$3:$I$122,MATCH($A26,Clients!$G$3:$G$122,0)))</f>
        <v/>
      </c>
      <c r="D26" s="48">
        <f>IF($A26="","",INDEX(Clients!$W$3:$W$122,MATCH($A26,Clients!$G$3:$G$122,0)))</f>
        <v/>
      </c>
      <c r="E26" s="43">
        <f>IF($A26="","",INDEX(Clients!$X$3:$X$122,MATCH($A26,Clients!$G$3:$G$122,0)))</f>
        <v/>
      </c>
      <c r="F26" s="43">
        <f>IF($A26="","",INDEX(Clients!$B$3:$B$122,MATCH($A26,Clients!$G$3:$G$122,0)))</f>
        <v/>
      </c>
      <c r="G26" s="43">
        <f>IF($A26="","",INDEX(Clients!$Z$3:$Z$122,MATCH($A26,Clients!$G$3:$G$122,0)))</f>
        <v/>
      </c>
      <c r="H26" s="43">
        <f>IF($A26="","",IF($G26="Champion","Birthday WhatsApp + referral ask","Birthday WhatsApp only"))</f>
        <v/>
      </c>
    </row>
    <row r="27">
      <c r="A27" s="43">
        <f>IFERROR(INDEX(Clients!$G$3:$G$122,SMALL(IF(Clients!$Y$3:$Y$122="YES",ROW(Clients!$Y$3:$Y$122)-ROW(Clients!$G$3)+1),24)),"")</f>
        <v/>
      </c>
      <c r="B27" s="43">
        <f>IF($A27="","",INDEX(Clients!$H$3:$H$122,MATCH($A27,Clients!$G$3:$G$122,0)))</f>
        <v/>
      </c>
      <c r="C27" s="43">
        <f>IF($A27="","",INDEX(Clients!$I$3:$I$122,MATCH($A27,Clients!$G$3:$G$122,0)))</f>
        <v/>
      </c>
      <c r="D27" s="48">
        <f>IF($A27="","",INDEX(Clients!$W$3:$W$122,MATCH($A27,Clients!$G$3:$G$122,0)))</f>
        <v/>
      </c>
      <c r="E27" s="43">
        <f>IF($A27="","",INDEX(Clients!$X$3:$X$122,MATCH($A27,Clients!$G$3:$G$122,0)))</f>
        <v/>
      </c>
      <c r="F27" s="43">
        <f>IF($A27="","",INDEX(Clients!$B$3:$B$122,MATCH($A27,Clients!$G$3:$G$122,0)))</f>
        <v/>
      </c>
      <c r="G27" s="43">
        <f>IF($A27="","",INDEX(Clients!$Z$3:$Z$122,MATCH($A27,Clients!$G$3:$G$122,0)))</f>
        <v/>
      </c>
      <c r="H27" s="43">
        <f>IF($A27="","",IF($G27="Champion","Birthday WhatsApp + referral ask","Birthday WhatsApp only"))</f>
        <v/>
      </c>
    </row>
    <row r="28">
      <c r="A28" s="43">
        <f>IFERROR(INDEX(Clients!$G$3:$G$122,SMALL(IF(Clients!$Y$3:$Y$122="YES",ROW(Clients!$Y$3:$Y$122)-ROW(Clients!$G$3)+1),25)),"")</f>
        <v/>
      </c>
      <c r="B28" s="43">
        <f>IF($A28="","",INDEX(Clients!$H$3:$H$122,MATCH($A28,Clients!$G$3:$G$122,0)))</f>
        <v/>
      </c>
      <c r="C28" s="43">
        <f>IF($A28="","",INDEX(Clients!$I$3:$I$122,MATCH($A28,Clients!$G$3:$G$122,0)))</f>
        <v/>
      </c>
      <c r="D28" s="48">
        <f>IF($A28="","",INDEX(Clients!$W$3:$W$122,MATCH($A28,Clients!$G$3:$G$122,0)))</f>
        <v/>
      </c>
      <c r="E28" s="43">
        <f>IF($A28="","",INDEX(Clients!$X$3:$X$122,MATCH($A28,Clients!$G$3:$G$122,0)))</f>
        <v/>
      </c>
      <c r="F28" s="43">
        <f>IF($A28="","",INDEX(Clients!$B$3:$B$122,MATCH($A28,Clients!$G$3:$G$122,0)))</f>
        <v/>
      </c>
      <c r="G28" s="43">
        <f>IF($A28="","",INDEX(Clients!$Z$3:$Z$122,MATCH($A28,Clients!$G$3:$G$122,0)))</f>
        <v/>
      </c>
      <c r="H28" s="43">
        <f>IF($A28="","",IF($G28="Champion","Birthday WhatsApp + referral ask","Birthday WhatsApp only"))</f>
        <v/>
      </c>
    </row>
    <row r="29">
      <c r="A29" s="43">
        <f>IFERROR(INDEX(Clients!$G$3:$G$122,SMALL(IF(Clients!$Y$3:$Y$122="YES",ROW(Clients!$Y$3:$Y$122)-ROW(Clients!$G$3)+1),26)),"")</f>
        <v/>
      </c>
      <c r="B29" s="43">
        <f>IF($A29="","",INDEX(Clients!$H$3:$H$122,MATCH($A29,Clients!$G$3:$G$122,0)))</f>
        <v/>
      </c>
      <c r="C29" s="43">
        <f>IF($A29="","",INDEX(Clients!$I$3:$I$122,MATCH($A29,Clients!$G$3:$G$122,0)))</f>
        <v/>
      </c>
      <c r="D29" s="48">
        <f>IF($A29="","",INDEX(Clients!$W$3:$W$122,MATCH($A29,Clients!$G$3:$G$122,0)))</f>
        <v/>
      </c>
      <c r="E29" s="43">
        <f>IF($A29="","",INDEX(Clients!$X$3:$X$122,MATCH($A29,Clients!$G$3:$G$122,0)))</f>
        <v/>
      </c>
      <c r="F29" s="43">
        <f>IF($A29="","",INDEX(Clients!$B$3:$B$122,MATCH($A29,Clients!$G$3:$G$122,0)))</f>
        <v/>
      </c>
      <c r="G29" s="43">
        <f>IF($A29="","",INDEX(Clients!$Z$3:$Z$122,MATCH($A29,Clients!$G$3:$G$122,0)))</f>
        <v/>
      </c>
      <c r="H29" s="43">
        <f>IF($A29="","",IF($G29="Champion","Birthday WhatsApp + referral ask","Birthday WhatsApp only"))</f>
        <v/>
      </c>
    </row>
    <row r="30">
      <c r="A30" s="43">
        <f>IFERROR(INDEX(Clients!$G$3:$G$122,SMALL(IF(Clients!$Y$3:$Y$122="YES",ROW(Clients!$Y$3:$Y$122)-ROW(Clients!$G$3)+1),27)),"")</f>
        <v/>
      </c>
      <c r="B30" s="43">
        <f>IF($A30="","",INDEX(Clients!$H$3:$H$122,MATCH($A30,Clients!$G$3:$G$122,0)))</f>
        <v/>
      </c>
      <c r="C30" s="43">
        <f>IF($A30="","",INDEX(Clients!$I$3:$I$122,MATCH($A30,Clients!$G$3:$G$122,0)))</f>
        <v/>
      </c>
      <c r="D30" s="48">
        <f>IF($A30="","",INDEX(Clients!$W$3:$W$122,MATCH($A30,Clients!$G$3:$G$122,0)))</f>
        <v/>
      </c>
      <c r="E30" s="43">
        <f>IF($A30="","",INDEX(Clients!$X$3:$X$122,MATCH($A30,Clients!$G$3:$G$122,0)))</f>
        <v/>
      </c>
      <c r="F30" s="43">
        <f>IF($A30="","",INDEX(Clients!$B$3:$B$122,MATCH($A30,Clients!$G$3:$G$122,0)))</f>
        <v/>
      </c>
      <c r="G30" s="43">
        <f>IF($A30="","",INDEX(Clients!$Z$3:$Z$122,MATCH($A30,Clients!$G$3:$G$122,0)))</f>
        <v/>
      </c>
      <c r="H30" s="43">
        <f>IF($A30="","",IF($G30="Champion","Birthday WhatsApp + referral ask","Birthday WhatsApp only"))</f>
        <v/>
      </c>
    </row>
    <row r="31">
      <c r="A31" s="43">
        <f>IFERROR(INDEX(Clients!$G$3:$G$122,SMALL(IF(Clients!$Y$3:$Y$122="YES",ROW(Clients!$Y$3:$Y$122)-ROW(Clients!$G$3)+1),28)),"")</f>
        <v/>
      </c>
      <c r="B31" s="43">
        <f>IF($A31="","",INDEX(Clients!$H$3:$H$122,MATCH($A31,Clients!$G$3:$G$122,0)))</f>
        <v/>
      </c>
      <c r="C31" s="43">
        <f>IF($A31="","",INDEX(Clients!$I$3:$I$122,MATCH($A31,Clients!$G$3:$G$122,0)))</f>
        <v/>
      </c>
      <c r="D31" s="48">
        <f>IF($A31="","",INDEX(Clients!$W$3:$W$122,MATCH($A31,Clients!$G$3:$G$122,0)))</f>
        <v/>
      </c>
      <c r="E31" s="43">
        <f>IF($A31="","",INDEX(Clients!$X$3:$X$122,MATCH($A31,Clients!$G$3:$G$122,0)))</f>
        <v/>
      </c>
      <c r="F31" s="43">
        <f>IF($A31="","",INDEX(Clients!$B$3:$B$122,MATCH($A31,Clients!$G$3:$G$122,0)))</f>
        <v/>
      </c>
      <c r="G31" s="43">
        <f>IF($A31="","",INDEX(Clients!$Z$3:$Z$122,MATCH($A31,Clients!$G$3:$G$122,0)))</f>
        <v/>
      </c>
      <c r="H31" s="43">
        <f>IF($A31="","",IF($G31="Champion","Birthday WhatsApp + referral ask","Birthday WhatsApp only"))</f>
        <v/>
      </c>
    </row>
    <row r="32">
      <c r="A32" s="43">
        <f>IFERROR(INDEX(Clients!$G$3:$G$122,SMALL(IF(Clients!$Y$3:$Y$122="YES",ROW(Clients!$Y$3:$Y$122)-ROW(Clients!$G$3)+1),29)),"")</f>
        <v/>
      </c>
      <c r="B32" s="43">
        <f>IF($A32="","",INDEX(Clients!$H$3:$H$122,MATCH($A32,Clients!$G$3:$G$122,0)))</f>
        <v/>
      </c>
      <c r="C32" s="43">
        <f>IF($A32="","",INDEX(Clients!$I$3:$I$122,MATCH($A32,Clients!$G$3:$G$122,0)))</f>
        <v/>
      </c>
      <c r="D32" s="48">
        <f>IF($A32="","",INDEX(Clients!$W$3:$W$122,MATCH($A32,Clients!$G$3:$G$122,0)))</f>
        <v/>
      </c>
      <c r="E32" s="43">
        <f>IF($A32="","",INDEX(Clients!$X$3:$X$122,MATCH($A32,Clients!$G$3:$G$122,0)))</f>
        <v/>
      </c>
      <c r="F32" s="43">
        <f>IF($A32="","",INDEX(Clients!$B$3:$B$122,MATCH($A32,Clients!$G$3:$G$122,0)))</f>
        <v/>
      </c>
      <c r="G32" s="43">
        <f>IF($A32="","",INDEX(Clients!$Z$3:$Z$122,MATCH($A32,Clients!$G$3:$G$122,0)))</f>
        <v/>
      </c>
      <c r="H32" s="43">
        <f>IF($A32="","",IF($G32="Champion","Birthday WhatsApp + referral ask","Birthday WhatsApp only"))</f>
        <v/>
      </c>
    </row>
    <row r="33">
      <c r="A33" s="43">
        <f>IFERROR(INDEX(Clients!$G$3:$G$122,SMALL(IF(Clients!$Y$3:$Y$122="YES",ROW(Clients!$Y$3:$Y$122)-ROW(Clients!$G$3)+1),30)),"")</f>
        <v/>
      </c>
      <c r="B33" s="43">
        <f>IF($A33="","",INDEX(Clients!$H$3:$H$122,MATCH($A33,Clients!$G$3:$G$122,0)))</f>
        <v/>
      </c>
      <c r="C33" s="43">
        <f>IF($A33="","",INDEX(Clients!$I$3:$I$122,MATCH($A33,Clients!$G$3:$G$122,0)))</f>
        <v/>
      </c>
      <c r="D33" s="48">
        <f>IF($A33="","",INDEX(Clients!$W$3:$W$122,MATCH($A33,Clients!$G$3:$G$122,0)))</f>
        <v/>
      </c>
      <c r="E33" s="43">
        <f>IF($A33="","",INDEX(Clients!$X$3:$X$122,MATCH($A33,Clients!$G$3:$G$122,0)))</f>
        <v/>
      </c>
      <c r="F33" s="43">
        <f>IF($A33="","",INDEX(Clients!$B$3:$B$122,MATCH($A33,Clients!$G$3:$G$122,0)))</f>
        <v/>
      </c>
      <c r="G33" s="43">
        <f>IF($A33="","",INDEX(Clients!$Z$3:$Z$122,MATCH($A33,Clients!$G$3:$G$122,0)))</f>
        <v/>
      </c>
      <c r="H33" s="43">
        <f>IF($A33="","",IF($G33="Champion","Birthday WhatsApp + referral ask","Birthday WhatsApp only"))</f>
        <v/>
      </c>
    </row>
    <row r="34">
      <c r="A34" s="43">
        <f>IFERROR(INDEX(Clients!$G$3:$G$122,SMALL(IF(Clients!$Y$3:$Y$122="YES",ROW(Clients!$Y$3:$Y$122)-ROW(Clients!$G$3)+1),31)),"")</f>
        <v/>
      </c>
      <c r="B34" s="43">
        <f>IF($A34="","",INDEX(Clients!$H$3:$H$122,MATCH($A34,Clients!$G$3:$G$122,0)))</f>
        <v/>
      </c>
      <c r="C34" s="43">
        <f>IF($A34="","",INDEX(Clients!$I$3:$I$122,MATCH($A34,Clients!$G$3:$G$122,0)))</f>
        <v/>
      </c>
      <c r="D34" s="48">
        <f>IF($A34="","",INDEX(Clients!$W$3:$W$122,MATCH($A34,Clients!$G$3:$G$122,0)))</f>
        <v/>
      </c>
      <c r="E34" s="43">
        <f>IF($A34="","",INDEX(Clients!$X$3:$X$122,MATCH($A34,Clients!$G$3:$G$122,0)))</f>
        <v/>
      </c>
      <c r="F34" s="43">
        <f>IF($A34="","",INDEX(Clients!$B$3:$B$122,MATCH($A34,Clients!$G$3:$G$122,0)))</f>
        <v/>
      </c>
      <c r="G34" s="43">
        <f>IF($A34="","",INDEX(Clients!$Z$3:$Z$122,MATCH($A34,Clients!$G$3:$G$122,0)))</f>
        <v/>
      </c>
      <c r="H34" s="43">
        <f>IF($A34="","",IF($G34="Champion","Birthday WhatsApp + referral ask","Birthday WhatsApp only"))</f>
        <v/>
      </c>
    </row>
    <row r="35">
      <c r="A35" s="43">
        <f>IFERROR(INDEX(Clients!$G$3:$G$122,SMALL(IF(Clients!$Y$3:$Y$122="YES",ROW(Clients!$Y$3:$Y$122)-ROW(Clients!$G$3)+1),32)),"")</f>
        <v/>
      </c>
      <c r="B35" s="43">
        <f>IF($A35="","",INDEX(Clients!$H$3:$H$122,MATCH($A35,Clients!$G$3:$G$122,0)))</f>
        <v/>
      </c>
      <c r="C35" s="43">
        <f>IF($A35="","",INDEX(Clients!$I$3:$I$122,MATCH($A35,Clients!$G$3:$G$122,0)))</f>
        <v/>
      </c>
      <c r="D35" s="48">
        <f>IF($A35="","",INDEX(Clients!$W$3:$W$122,MATCH($A35,Clients!$G$3:$G$122,0)))</f>
        <v/>
      </c>
      <c r="E35" s="43">
        <f>IF($A35="","",INDEX(Clients!$X$3:$X$122,MATCH($A35,Clients!$G$3:$G$122,0)))</f>
        <v/>
      </c>
      <c r="F35" s="43">
        <f>IF($A35="","",INDEX(Clients!$B$3:$B$122,MATCH($A35,Clients!$G$3:$G$122,0)))</f>
        <v/>
      </c>
      <c r="G35" s="43">
        <f>IF($A35="","",INDEX(Clients!$Z$3:$Z$122,MATCH($A35,Clients!$G$3:$G$122,0)))</f>
        <v/>
      </c>
      <c r="H35" s="43">
        <f>IF($A35="","",IF($G35="Champion","Birthday WhatsApp + referral ask","Birthday WhatsApp only"))</f>
        <v/>
      </c>
    </row>
    <row r="36">
      <c r="A36" s="43">
        <f>IFERROR(INDEX(Clients!$G$3:$G$122,SMALL(IF(Clients!$Y$3:$Y$122="YES",ROW(Clients!$Y$3:$Y$122)-ROW(Clients!$G$3)+1),33)),"")</f>
        <v/>
      </c>
      <c r="B36" s="43">
        <f>IF($A36="","",INDEX(Clients!$H$3:$H$122,MATCH($A36,Clients!$G$3:$G$122,0)))</f>
        <v/>
      </c>
      <c r="C36" s="43">
        <f>IF($A36="","",INDEX(Clients!$I$3:$I$122,MATCH($A36,Clients!$G$3:$G$122,0)))</f>
        <v/>
      </c>
      <c r="D36" s="48">
        <f>IF($A36="","",INDEX(Clients!$W$3:$W$122,MATCH($A36,Clients!$G$3:$G$122,0)))</f>
        <v/>
      </c>
      <c r="E36" s="43">
        <f>IF($A36="","",INDEX(Clients!$X$3:$X$122,MATCH($A36,Clients!$G$3:$G$122,0)))</f>
        <v/>
      </c>
      <c r="F36" s="43">
        <f>IF($A36="","",INDEX(Clients!$B$3:$B$122,MATCH($A36,Clients!$G$3:$G$122,0)))</f>
        <v/>
      </c>
      <c r="G36" s="43">
        <f>IF($A36="","",INDEX(Clients!$Z$3:$Z$122,MATCH($A36,Clients!$G$3:$G$122,0)))</f>
        <v/>
      </c>
      <c r="H36" s="43">
        <f>IF($A36="","",IF($G36="Champion","Birthday WhatsApp + referral ask","Birthday WhatsApp only"))</f>
        <v/>
      </c>
    </row>
    <row r="37">
      <c r="A37" s="43">
        <f>IFERROR(INDEX(Clients!$G$3:$G$122,SMALL(IF(Clients!$Y$3:$Y$122="YES",ROW(Clients!$Y$3:$Y$122)-ROW(Clients!$G$3)+1),34)),"")</f>
        <v/>
      </c>
      <c r="B37" s="43">
        <f>IF($A37="","",INDEX(Clients!$H$3:$H$122,MATCH($A37,Clients!$G$3:$G$122,0)))</f>
        <v/>
      </c>
      <c r="C37" s="43">
        <f>IF($A37="","",INDEX(Clients!$I$3:$I$122,MATCH($A37,Clients!$G$3:$G$122,0)))</f>
        <v/>
      </c>
      <c r="D37" s="48">
        <f>IF($A37="","",INDEX(Clients!$W$3:$W$122,MATCH($A37,Clients!$G$3:$G$122,0)))</f>
        <v/>
      </c>
      <c r="E37" s="43">
        <f>IF($A37="","",INDEX(Clients!$X$3:$X$122,MATCH($A37,Clients!$G$3:$G$122,0)))</f>
        <v/>
      </c>
      <c r="F37" s="43">
        <f>IF($A37="","",INDEX(Clients!$B$3:$B$122,MATCH($A37,Clients!$G$3:$G$122,0)))</f>
        <v/>
      </c>
      <c r="G37" s="43">
        <f>IF($A37="","",INDEX(Clients!$Z$3:$Z$122,MATCH($A37,Clients!$G$3:$G$122,0)))</f>
        <v/>
      </c>
      <c r="H37" s="43">
        <f>IF($A37="","",IF($G37="Champion","Birthday WhatsApp + referral ask","Birthday WhatsApp only"))</f>
        <v/>
      </c>
    </row>
    <row r="38">
      <c r="A38" s="43">
        <f>IFERROR(INDEX(Clients!$G$3:$G$122,SMALL(IF(Clients!$Y$3:$Y$122="YES",ROW(Clients!$Y$3:$Y$122)-ROW(Clients!$G$3)+1),35)),"")</f>
        <v/>
      </c>
      <c r="B38" s="43">
        <f>IF($A38="","",INDEX(Clients!$H$3:$H$122,MATCH($A38,Clients!$G$3:$G$122,0)))</f>
        <v/>
      </c>
      <c r="C38" s="43">
        <f>IF($A38="","",INDEX(Clients!$I$3:$I$122,MATCH($A38,Clients!$G$3:$G$122,0)))</f>
        <v/>
      </c>
      <c r="D38" s="48">
        <f>IF($A38="","",INDEX(Clients!$W$3:$W$122,MATCH($A38,Clients!$G$3:$G$122,0)))</f>
        <v/>
      </c>
      <c r="E38" s="43">
        <f>IF($A38="","",INDEX(Clients!$X$3:$X$122,MATCH($A38,Clients!$G$3:$G$122,0)))</f>
        <v/>
      </c>
      <c r="F38" s="43">
        <f>IF($A38="","",INDEX(Clients!$B$3:$B$122,MATCH($A38,Clients!$G$3:$G$122,0)))</f>
        <v/>
      </c>
      <c r="G38" s="43">
        <f>IF($A38="","",INDEX(Clients!$Z$3:$Z$122,MATCH($A38,Clients!$G$3:$G$122,0)))</f>
        <v/>
      </c>
      <c r="H38" s="43">
        <f>IF($A38="","",IF($G38="Champion","Birthday WhatsApp + referral ask","Birthday WhatsApp only"))</f>
        <v/>
      </c>
    </row>
    <row r="39">
      <c r="A39" s="43">
        <f>IFERROR(INDEX(Clients!$G$3:$G$122,SMALL(IF(Clients!$Y$3:$Y$122="YES",ROW(Clients!$Y$3:$Y$122)-ROW(Clients!$G$3)+1),36)),"")</f>
        <v/>
      </c>
      <c r="B39" s="43">
        <f>IF($A39="","",INDEX(Clients!$H$3:$H$122,MATCH($A39,Clients!$G$3:$G$122,0)))</f>
        <v/>
      </c>
      <c r="C39" s="43">
        <f>IF($A39="","",INDEX(Clients!$I$3:$I$122,MATCH($A39,Clients!$G$3:$G$122,0)))</f>
        <v/>
      </c>
      <c r="D39" s="48">
        <f>IF($A39="","",INDEX(Clients!$W$3:$W$122,MATCH($A39,Clients!$G$3:$G$122,0)))</f>
        <v/>
      </c>
      <c r="E39" s="43">
        <f>IF($A39="","",INDEX(Clients!$X$3:$X$122,MATCH($A39,Clients!$G$3:$G$122,0)))</f>
        <v/>
      </c>
      <c r="F39" s="43">
        <f>IF($A39="","",INDEX(Clients!$B$3:$B$122,MATCH($A39,Clients!$G$3:$G$122,0)))</f>
        <v/>
      </c>
      <c r="G39" s="43">
        <f>IF($A39="","",INDEX(Clients!$Z$3:$Z$122,MATCH($A39,Clients!$G$3:$G$122,0)))</f>
        <v/>
      </c>
      <c r="H39" s="43">
        <f>IF($A39="","",IF($G39="Champion","Birthday WhatsApp + referral ask","Birthday WhatsApp only"))</f>
        <v/>
      </c>
    </row>
    <row r="40">
      <c r="A40" s="43">
        <f>IFERROR(INDEX(Clients!$G$3:$G$122,SMALL(IF(Clients!$Y$3:$Y$122="YES",ROW(Clients!$Y$3:$Y$122)-ROW(Clients!$G$3)+1),37)),"")</f>
        <v/>
      </c>
      <c r="B40" s="43">
        <f>IF($A40="","",INDEX(Clients!$H$3:$H$122,MATCH($A40,Clients!$G$3:$G$122,0)))</f>
        <v/>
      </c>
      <c r="C40" s="43">
        <f>IF($A40="","",INDEX(Clients!$I$3:$I$122,MATCH($A40,Clients!$G$3:$G$122,0)))</f>
        <v/>
      </c>
      <c r="D40" s="48">
        <f>IF($A40="","",INDEX(Clients!$W$3:$W$122,MATCH($A40,Clients!$G$3:$G$122,0)))</f>
        <v/>
      </c>
      <c r="E40" s="43">
        <f>IF($A40="","",INDEX(Clients!$X$3:$X$122,MATCH($A40,Clients!$G$3:$G$122,0)))</f>
        <v/>
      </c>
      <c r="F40" s="43">
        <f>IF($A40="","",INDEX(Clients!$B$3:$B$122,MATCH($A40,Clients!$G$3:$G$122,0)))</f>
        <v/>
      </c>
      <c r="G40" s="43">
        <f>IF($A40="","",INDEX(Clients!$Z$3:$Z$122,MATCH($A40,Clients!$G$3:$G$122,0)))</f>
        <v/>
      </c>
      <c r="H40" s="43">
        <f>IF($A40="","",IF($G40="Champion","Birthday WhatsApp + referral ask","Birthday WhatsApp only"))</f>
        <v/>
      </c>
    </row>
    <row r="41">
      <c r="A41" s="43">
        <f>IFERROR(INDEX(Clients!$G$3:$G$122,SMALL(IF(Clients!$Y$3:$Y$122="YES",ROW(Clients!$Y$3:$Y$122)-ROW(Clients!$G$3)+1),38)),"")</f>
        <v/>
      </c>
      <c r="B41" s="43">
        <f>IF($A41="","",INDEX(Clients!$H$3:$H$122,MATCH($A41,Clients!$G$3:$G$122,0)))</f>
        <v/>
      </c>
      <c r="C41" s="43">
        <f>IF($A41="","",INDEX(Clients!$I$3:$I$122,MATCH($A41,Clients!$G$3:$G$122,0)))</f>
        <v/>
      </c>
      <c r="D41" s="48">
        <f>IF($A41="","",INDEX(Clients!$W$3:$W$122,MATCH($A41,Clients!$G$3:$G$122,0)))</f>
        <v/>
      </c>
      <c r="E41" s="43">
        <f>IF($A41="","",INDEX(Clients!$X$3:$X$122,MATCH($A41,Clients!$G$3:$G$122,0)))</f>
        <v/>
      </c>
      <c r="F41" s="43">
        <f>IF($A41="","",INDEX(Clients!$B$3:$B$122,MATCH($A41,Clients!$G$3:$G$122,0)))</f>
        <v/>
      </c>
      <c r="G41" s="43">
        <f>IF($A41="","",INDEX(Clients!$Z$3:$Z$122,MATCH($A41,Clients!$G$3:$G$122,0)))</f>
        <v/>
      </c>
      <c r="H41" s="43">
        <f>IF($A41="","",IF($G41="Champion","Birthday WhatsApp + referral ask","Birthday WhatsApp only"))</f>
        <v/>
      </c>
    </row>
    <row r="42">
      <c r="A42" s="43">
        <f>IFERROR(INDEX(Clients!$G$3:$G$122,SMALL(IF(Clients!$Y$3:$Y$122="YES",ROW(Clients!$Y$3:$Y$122)-ROW(Clients!$G$3)+1),39)),"")</f>
        <v/>
      </c>
      <c r="B42" s="43">
        <f>IF($A42="","",INDEX(Clients!$H$3:$H$122,MATCH($A42,Clients!$G$3:$G$122,0)))</f>
        <v/>
      </c>
      <c r="C42" s="43">
        <f>IF($A42="","",INDEX(Clients!$I$3:$I$122,MATCH($A42,Clients!$G$3:$G$122,0)))</f>
        <v/>
      </c>
      <c r="D42" s="48">
        <f>IF($A42="","",INDEX(Clients!$W$3:$W$122,MATCH($A42,Clients!$G$3:$G$122,0)))</f>
        <v/>
      </c>
      <c r="E42" s="43">
        <f>IF($A42="","",INDEX(Clients!$X$3:$X$122,MATCH($A42,Clients!$G$3:$G$122,0)))</f>
        <v/>
      </c>
      <c r="F42" s="43">
        <f>IF($A42="","",INDEX(Clients!$B$3:$B$122,MATCH($A42,Clients!$G$3:$G$122,0)))</f>
        <v/>
      </c>
      <c r="G42" s="43">
        <f>IF($A42="","",INDEX(Clients!$Z$3:$Z$122,MATCH($A42,Clients!$G$3:$G$122,0)))</f>
        <v/>
      </c>
      <c r="H42" s="43">
        <f>IF($A42="","",IF($G42="Champion","Birthday WhatsApp + referral ask","Birthday WhatsApp only"))</f>
        <v/>
      </c>
    </row>
    <row r="43">
      <c r="A43" s="43">
        <f>IFERROR(INDEX(Clients!$G$3:$G$122,SMALL(IF(Clients!$Y$3:$Y$122="YES",ROW(Clients!$Y$3:$Y$122)-ROW(Clients!$G$3)+1),40)),"")</f>
        <v/>
      </c>
      <c r="B43" s="43">
        <f>IF($A43="","",INDEX(Clients!$H$3:$H$122,MATCH($A43,Clients!$G$3:$G$122,0)))</f>
        <v/>
      </c>
      <c r="C43" s="43">
        <f>IF($A43="","",INDEX(Clients!$I$3:$I$122,MATCH($A43,Clients!$G$3:$G$122,0)))</f>
        <v/>
      </c>
      <c r="D43" s="48">
        <f>IF($A43="","",INDEX(Clients!$W$3:$W$122,MATCH($A43,Clients!$G$3:$G$122,0)))</f>
        <v/>
      </c>
      <c r="E43" s="43">
        <f>IF($A43="","",INDEX(Clients!$X$3:$X$122,MATCH($A43,Clients!$G$3:$G$122,0)))</f>
        <v/>
      </c>
      <c r="F43" s="43">
        <f>IF($A43="","",INDEX(Clients!$B$3:$B$122,MATCH($A43,Clients!$G$3:$G$122,0)))</f>
        <v/>
      </c>
      <c r="G43" s="43">
        <f>IF($A43="","",INDEX(Clients!$Z$3:$Z$122,MATCH($A43,Clients!$G$3:$G$122,0)))</f>
        <v/>
      </c>
      <c r="H43" s="43">
        <f>IF($A43="","",IF($G43="Champion","Birthday WhatsApp + referral ask","Birthday WhatsApp only"))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182CE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</cols>
  <sheetData>
    <row r="1">
      <c r="A1" s="49" t="inlineStr">
        <is>
          <t>Client Approach Status — pipeline counts</t>
        </is>
      </c>
    </row>
    <row r="3">
      <c r="A3" s="23" t="inlineStr">
        <is>
          <t>Status</t>
        </is>
      </c>
      <c r="B3" s="23" t="inlineStr">
        <is>
          <t>Count</t>
        </is>
      </c>
      <c r="C3" s="23" t="inlineStr">
        <is>
          <t>% of total</t>
        </is>
      </c>
    </row>
    <row r="4">
      <c r="A4" t="inlineStr">
        <is>
          <t>Not contacted</t>
        </is>
      </c>
      <c r="B4">
        <f>COUNTIF(Clients!$U$3:$U$122,A4)</f>
        <v/>
      </c>
      <c r="C4" s="50">
        <f>IF(B4=0,"",B4/COUNTA(Clients!$G$3:$G$122))</f>
        <v/>
      </c>
    </row>
    <row r="5">
      <c r="A5" t="inlineStr">
        <is>
          <t>First contact</t>
        </is>
      </c>
      <c r="B5">
        <f>COUNTIF(Clients!$U$3:$U$122,A5)</f>
        <v/>
      </c>
      <c r="C5" s="50">
        <f>IF(B4=0,"",B5/COUNTA(Clients!$G$3:$G$122))</f>
        <v/>
      </c>
    </row>
    <row r="6">
      <c r="A6" t="inlineStr">
        <is>
          <t>Meeting scheduled</t>
        </is>
      </c>
      <c r="B6">
        <f>COUNTIF(Clients!$U$3:$U$122,A6)</f>
        <v/>
      </c>
      <c r="C6" s="50">
        <f>IF(B4=0,"",B6/COUNTA(Clients!$G$3:$G$122))</f>
        <v/>
      </c>
    </row>
    <row r="7">
      <c r="A7" t="inlineStr">
        <is>
          <t>Needs analysis</t>
        </is>
      </c>
      <c r="B7">
        <f>COUNTIF(Clients!$U$3:$U$122,A7)</f>
        <v/>
      </c>
      <c r="C7" s="50">
        <f>IF(B4=0,"",B7/COUNTA(Clients!$G$3:$G$122))</f>
        <v/>
      </c>
    </row>
    <row r="8">
      <c r="A8" t="inlineStr">
        <is>
          <t>Quoted</t>
        </is>
      </c>
      <c r="B8">
        <f>COUNTIF(Clients!$U$3:$U$122,A8)</f>
        <v/>
      </c>
      <c r="C8" s="50">
        <f>IF(B4=0,"",B8/COUNTA(Clients!$G$3:$G$122))</f>
        <v/>
      </c>
    </row>
    <row r="9">
      <c r="A9" t="inlineStr">
        <is>
          <t>Follow-up</t>
        </is>
      </c>
      <c r="B9">
        <f>COUNTIF(Clients!$U$3:$U$122,A9)</f>
        <v/>
      </c>
      <c r="C9" s="50">
        <f>IF(B4=0,"",B9/COUNTA(Clients!$G$3:$G$122))</f>
        <v/>
      </c>
    </row>
    <row r="10">
      <c r="A10" t="inlineStr">
        <is>
          <t>Negotiating</t>
        </is>
      </c>
      <c r="B10">
        <f>COUNTIF(Clients!$U$3:$U$122,A10)</f>
        <v/>
      </c>
      <c r="C10" s="50">
        <f>IF(B4=0,"",B10/COUNTA(Clients!$G$3:$G$122))</f>
        <v/>
      </c>
    </row>
    <row r="11">
      <c r="A11" t="inlineStr">
        <is>
          <t>Won - pending</t>
        </is>
      </c>
      <c r="B11">
        <f>COUNTIF(Clients!$U$3:$U$122,A11)</f>
        <v/>
      </c>
      <c r="C11" s="50">
        <f>IF(B4=0,"",B11/COUNTA(Clients!$G$3:$G$122))</f>
        <v/>
      </c>
    </row>
    <row r="12">
      <c r="A12" t="inlineStr">
        <is>
          <t>Active client</t>
        </is>
      </c>
      <c r="B12">
        <f>COUNTIF(Clients!$U$3:$U$122,A12)</f>
        <v/>
      </c>
      <c r="C12" s="50">
        <f>IF(B4=0,"",B12/COUNTA(Clients!$G$3:$G$122))</f>
        <v/>
      </c>
    </row>
    <row r="13">
      <c r="A13" t="inlineStr">
        <is>
          <t>Referral partner</t>
        </is>
      </c>
      <c r="B13">
        <f>COUNTIF(Clients!$U$3:$U$122,A13)</f>
        <v/>
      </c>
      <c r="C13" s="50">
        <f>IF(B4=0,"",B13/COUNTA(Clients!$G$3:$G$122))</f>
        <v/>
      </c>
    </row>
    <row r="14">
      <c r="A14" t="inlineStr">
        <is>
          <t>Nurture</t>
        </is>
      </c>
      <c r="B14">
        <f>COUNTIF(Clients!$U$3:$U$122,A14)</f>
        <v/>
      </c>
      <c r="C14" s="50">
        <f>IF(B4=0,"",B14/COUNTA(Clients!$G$3:$G$122))</f>
        <v/>
      </c>
    </row>
    <row r="15">
      <c r="A15" t="inlineStr">
        <is>
          <t>Lost</t>
        </is>
      </c>
      <c r="B15">
        <f>COUNTIF(Clients!$U$3:$U$122,A15)</f>
        <v/>
      </c>
      <c r="C15" s="50">
        <f>IF(B4=0,"",B15/COUNTA(Clients!$G$3:$G$122))</f>
        <v/>
      </c>
    </row>
    <row r="16">
      <c r="A16" s="3" t="inlineStr">
        <is>
          <t>TOTAL with name</t>
        </is>
      </c>
      <c r="B16" s="3">
        <f>COUNTA(Clients!$G$3:$G$122)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53030"/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7" customWidth="1" min="3" max="3"/>
    <col width="36" customWidth="1" min="4" max="4"/>
    <col width="8" customWidth="1" min="5" max="5"/>
    <col width="18" customWidth="1" min="7" max="7"/>
    <col width="11" customWidth="1" min="9" max="9"/>
  </cols>
  <sheetData>
    <row r="1" ht="32" customHeight="1">
      <c r="A1" s="51" t="inlineStr">
        <is>
          <t>This Week — Priority calls</t>
        </is>
      </c>
    </row>
    <row r="2">
      <c r="A2" s="23" t="inlineStr">
        <is>
          <t>Rank</t>
        </is>
      </c>
      <c r="B2" s="23" t="inlineStr">
        <is>
          <t>Category</t>
        </is>
      </c>
      <c r="C2" s="23" t="inlineStr">
        <is>
          <t>Score</t>
        </is>
      </c>
      <c r="D2" s="23" t="inlineStr">
        <is>
          <t>Next Action</t>
        </is>
      </c>
      <c r="E2" s="23" t="inlineStr">
        <is>
          <t>Stage</t>
        </is>
      </c>
      <c r="F2" s="23" t="inlineStr">
        <is>
          <t>Client?</t>
        </is>
      </c>
      <c r="G2" s="23" t="inlineStr">
        <is>
          <t>English Name</t>
        </is>
      </c>
      <c r="H2" s="23" t="inlineStr">
        <is>
          <t>Nickname</t>
        </is>
      </c>
      <c r="I2" s="23" t="inlineStr">
        <is>
          <t>Phone</t>
        </is>
      </c>
      <c r="J2" s="23" t="inlineStr">
        <is>
          <t>Gender</t>
        </is>
      </c>
      <c r="K2" s="23" t="inlineStr">
        <is>
          <t>Age</t>
        </is>
      </c>
    </row>
    <row r="3">
      <c r="A3" s="52" t="n">
        <v>1</v>
      </c>
      <c r="B3" s="53" t="inlineStr">
        <is>
          <t>Client</t>
        </is>
      </c>
      <c r="C3" s="52" t="n">
        <v>13</v>
      </c>
      <c r="D3" s="52" t="inlineStr">
        <is>
          <t>child funds</t>
        </is>
      </c>
      <c r="E3" s="52" t="inlineStr">
        <is>
          <t>NEW</t>
        </is>
      </c>
      <c r="F3" s="52" t="inlineStr">
        <is>
          <t>Yes</t>
        </is>
      </c>
      <c r="G3" s="52" t="inlineStr">
        <is>
          <t>Lung On Yi</t>
        </is>
      </c>
      <c r="H3" s="52" t="inlineStr">
        <is>
          <t>Rhian</t>
        </is>
      </c>
      <c r="I3" s="52" t="inlineStr">
        <is>
          <t>53408333</t>
        </is>
      </c>
      <c r="J3" s="52" t="inlineStr">
        <is>
          <t>Female</t>
        </is>
      </c>
      <c r="K3" s="52" t="inlineStr">
        <is>
          <t>28</t>
        </is>
      </c>
    </row>
    <row r="4">
      <c r="A4" s="52" t="n">
        <v>2</v>
      </c>
      <c r="B4" s="53" t="inlineStr">
        <is>
          <t>Client</t>
        </is>
      </c>
      <c r="C4" s="52" t="n">
        <v>12</v>
      </c>
      <c r="D4" s="52" t="inlineStr">
        <is>
          <t>Follow up saving</t>
        </is>
      </c>
      <c r="E4" s="52" t="inlineStr">
        <is>
          <t>L1</t>
        </is>
      </c>
      <c r="F4" s="52" t="inlineStr">
        <is>
          <t>Yes</t>
        </is>
      </c>
      <c r="G4" s="52" t="inlineStr">
        <is>
          <t>Yu Chun Kit</t>
        </is>
      </c>
      <c r="H4" s="52" t="inlineStr">
        <is>
          <t>Fish</t>
        </is>
      </c>
      <c r="I4" s="52" t="inlineStr">
        <is>
          <t>51999624</t>
        </is>
      </c>
      <c r="J4" s="52" t="inlineStr">
        <is>
          <t>Male</t>
        </is>
      </c>
      <c r="K4" s="52" t="inlineStr">
        <is>
          <t>23</t>
        </is>
      </c>
    </row>
    <row r="5">
      <c r="A5" s="52" t="n">
        <v>3</v>
      </c>
      <c r="B5" s="54" t="inlineStr">
        <is>
          <t>Hot</t>
        </is>
      </c>
      <c r="C5" s="52" t="n">
        <v>11</v>
      </c>
      <c r="D5" s="52" t="inlineStr">
        <is>
          <t>Follow up GGG5 5000$ Wednesddday</t>
        </is>
      </c>
      <c r="E5" s="52" t="inlineStr">
        <is>
          <t>L2</t>
        </is>
      </c>
      <c r="F5" s="52" t="n"/>
      <c r="G5" s="52" t="inlineStr">
        <is>
          <t>Law Chun Kit</t>
        </is>
      </c>
      <c r="H5" s="52" t="inlineStr">
        <is>
          <t>Kelvin</t>
        </is>
      </c>
      <c r="I5" s="52" t="inlineStr">
        <is>
          <t>52663929</t>
        </is>
      </c>
      <c r="J5" s="52" t="inlineStr">
        <is>
          <t>Male</t>
        </is>
      </c>
      <c r="K5" s="52" t="inlineStr">
        <is>
          <t>23</t>
        </is>
      </c>
    </row>
    <row r="6">
      <c r="A6" s="52" t="n">
        <v>4</v>
      </c>
      <c r="B6" s="53" t="inlineStr">
        <is>
          <t>Client</t>
        </is>
      </c>
      <c r="C6" s="52" t="n">
        <v>11</v>
      </c>
      <c r="D6" s="52" t="n"/>
      <c r="E6" s="52" t="inlineStr">
        <is>
          <t>NEW</t>
        </is>
      </c>
      <c r="F6" s="52" t="inlineStr">
        <is>
          <t>Yes</t>
        </is>
      </c>
      <c r="G6" s="52" t="inlineStr">
        <is>
          <t>Leung Wai Ki</t>
        </is>
      </c>
      <c r="H6" s="52" t="inlineStr">
        <is>
          <t>Vicky</t>
        </is>
      </c>
      <c r="I6" s="52" t="inlineStr">
        <is>
          <t>91468762</t>
        </is>
      </c>
      <c r="J6" s="52" t="inlineStr">
        <is>
          <t>Female</t>
        </is>
      </c>
      <c r="K6" s="52" t="inlineStr">
        <is>
          <t>24</t>
        </is>
      </c>
    </row>
    <row r="7">
      <c r="A7" s="52" t="n">
        <v>5</v>
      </c>
      <c r="B7" s="53" t="inlineStr">
        <is>
          <t>Client</t>
        </is>
      </c>
      <c r="C7" s="52" t="n">
        <v>11</v>
      </c>
      <c r="D7" s="52" t="n"/>
      <c r="E7" s="52" t="inlineStr">
        <is>
          <t>NEW</t>
        </is>
      </c>
      <c r="F7" s="52" t="inlineStr">
        <is>
          <t>Yes</t>
        </is>
      </c>
      <c r="G7" s="52" t="inlineStr">
        <is>
          <t>Lung On Ki</t>
        </is>
      </c>
      <c r="H7" s="52" t="inlineStr">
        <is>
          <t>Angel</t>
        </is>
      </c>
      <c r="I7" s="52" t="inlineStr">
        <is>
          <t>68506999</t>
        </is>
      </c>
      <c r="J7" s="52" t="inlineStr">
        <is>
          <t>Female</t>
        </is>
      </c>
      <c r="K7" s="52" t="inlineStr">
        <is>
          <t>25</t>
        </is>
      </c>
    </row>
    <row r="8">
      <c r="A8" s="52" t="n">
        <v>6</v>
      </c>
      <c r="B8" s="54" t="inlineStr">
        <is>
          <t>Hot</t>
        </is>
      </c>
      <c r="C8" s="52" t="n">
        <v>10</v>
      </c>
      <c r="D8" s="52" t="inlineStr">
        <is>
          <t>Follow up medical (Staturday)</t>
        </is>
      </c>
      <c r="E8" s="52" t="inlineStr">
        <is>
          <t>L1</t>
        </is>
      </c>
      <c r="F8" s="52" t="n"/>
      <c r="G8" s="52" t="inlineStr">
        <is>
          <t>Chan Yong Chun</t>
        </is>
      </c>
      <c r="H8" s="52" t="inlineStr">
        <is>
          <t>Kelvin</t>
        </is>
      </c>
      <c r="I8" s="52" t="inlineStr">
        <is>
          <t>54095792</t>
        </is>
      </c>
      <c r="J8" s="52" t="inlineStr">
        <is>
          <t>Male</t>
        </is>
      </c>
      <c r="K8" s="52" t="inlineStr">
        <is>
          <t>23</t>
        </is>
      </c>
    </row>
    <row r="9">
      <c r="A9" s="52" t="n">
        <v>7</v>
      </c>
      <c r="B9" s="53" t="inlineStr">
        <is>
          <t>Client</t>
        </is>
      </c>
      <c r="C9" s="52" t="n">
        <v>10</v>
      </c>
      <c r="D9" s="52" t="inlineStr">
        <is>
          <t>dinner on track 3000$ (GI/ Investment ) On 7/</t>
        </is>
      </c>
      <c r="E9" s="52" t="inlineStr">
        <is>
          <t>NEW</t>
        </is>
      </c>
      <c r="F9" s="52" t="inlineStr">
        <is>
          <t>Yes</t>
        </is>
      </c>
      <c r="G9" s="52" t="inlineStr">
        <is>
          <t>Cheung Chun Hei</t>
        </is>
      </c>
      <c r="H9" s="52" t="inlineStr">
        <is>
          <t>Jason</t>
        </is>
      </c>
      <c r="I9" s="52" t="inlineStr">
        <is>
          <t>61809023</t>
        </is>
      </c>
      <c r="J9" s="52" t="inlineStr">
        <is>
          <t>Male</t>
        </is>
      </c>
      <c r="K9" s="52" t="inlineStr">
        <is>
          <t>23</t>
        </is>
      </c>
    </row>
    <row r="10">
      <c r="A10" s="52" t="n">
        <v>8</v>
      </c>
      <c r="B10" s="54" t="inlineStr">
        <is>
          <t>Hot</t>
        </is>
      </c>
      <c r="C10" s="52" t="n">
        <v>10</v>
      </c>
      <c r="D10" s="52" t="inlineStr">
        <is>
          <t>waiting travel back/ 8/3 GGG 2500$</t>
        </is>
      </c>
      <c r="E10" s="52" t="inlineStr">
        <is>
          <t>L1</t>
        </is>
      </c>
      <c r="F10" s="52" t="n"/>
      <c r="G10" s="52" t="inlineStr">
        <is>
          <t>Wong Tsz Ki</t>
        </is>
      </c>
      <c r="H10" s="52" t="inlineStr">
        <is>
          <t>Ricky</t>
        </is>
      </c>
      <c r="I10" s="52" t="inlineStr">
        <is>
          <t>65774651</t>
        </is>
      </c>
      <c r="J10" s="52" t="inlineStr">
        <is>
          <t>Male</t>
        </is>
      </c>
      <c r="K10" s="52" t="inlineStr">
        <is>
          <t>23</t>
        </is>
      </c>
    </row>
    <row r="11">
      <c r="A11" s="52" t="n">
        <v>9</v>
      </c>
      <c r="B11" s="54" t="inlineStr">
        <is>
          <t>Hot</t>
        </is>
      </c>
      <c r="C11" s="52" t="n">
        <v>9</v>
      </c>
      <c r="D11" s="52" t="inlineStr">
        <is>
          <t>FYC 8515 DONE/ Follow up GGG $200k Thursday</t>
        </is>
      </c>
      <c r="E11" s="52" t="inlineStr">
        <is>
          <t>L1</t>
        </is>
      </c>
      <c r="F11" s="52" t="n"/>
      <c r="G11" s="52" t="inlineStr">
        <is>
          <t>Avis Cheng</t>
        </is>
      </c>
      <c r="H11" s="52" t="inlineStr">
        <is>
          <t>Avis</t>
        </is>
      </c>
      <c r="I11" s="52" t="inlineStr">
        <is>
          <t>51123845</t>
        </is>
      </c>
      <c r="J11" s="52" t="inlineStr">
        <is>
          <t>Male</t>
        </is>
      </c>
      <c r="K11" s="52" t="inlineStr">
        <is>
          <t>24</t>
        </is>
      </c>
    </row>
    <row r="12">
      <c r="A12" s="52" t="n">
        <v>10</v>
      </c>
      <c r="B12" s="54" t="inlineStr">
        <is>
          <t>Hot</t>
        </is>
      </c>
      <c r="C12" s="52" t="n">
        <v>9</v>
      </c>
      <c r="D12" s="52" t="inlineStr">
        <is>
          <t>follow up child edu funds $3000 WAITING</t>
        </is>
      </c>
      <c r="E12" s="52" t="inlineStr">
        <is>
          <t>NEW</t>
        </is>
      </c>
      <c r="F12" s="52" t="n"/>
      <c r="G12" s="52" t="inlineStr">
        <is>
          <t>Ken</t>
        </is>
      </c>
      <c r="H12" s="52" t="inlineStr">
        <is>
          <t>Ken</t>
        </is>
      </c>
      <c r="I12" s="52" t="inlineStr">
        <is>
          <t>91002495</t>
        </is>
      </c>
      <c r="J12" s="52" t="inlineStr">
        <is>
          <t>MALE</t>
        </is>
      </c>
      <c r="K12" s="52" t="inlineStr">
        <is>
          <t>51</t>
        </is>
      </c>
    </row>
    <row r="13">
      <c r="A13" s="52" t="n">
        <v>11</v>
      </c>
      <c r="B13" s="54" t="inlineStr">
        <is>
          <t>Hot</t>
        </is>
      </c>
      <c r="C13" s="52" t="n">
        <v>9</v>
      </c>
      <c r="D13" s="52" t="inlineStr">
        <is>
          <t>follow up child edu funds $3000/</t>
        </is>
      </c>
      <c r="E13" s="52" t="inlineStr">
        <is>
          <t>NEW</t>
        </is>
      </c>
      <c r="F13" s="52" t="n"/>
      <c r="G13" s="52" t="inlineStr">
        <is>
          <t>Ms wong</t>
        </is>
      </c>
      <c r="H13" s="52" t="inlineStr">
        <is>
          <t>Ms wong</t>
        </is>
      </c>
      <c r="I13" s="52" t="inlineStr">
        <is>
          <t>53747947</t>
        </is>
      </c>
      <c r="J13" s="52" t="inlineStr">
        <is>
          <t>female</t>
        </is>
      </c>
      <c r="K13" s="52" t="inlineStr">
        <is>
          <t>45</t>
        </is>
      </c>
    </row>
    <row r="14">
      <c r="A14" s="52" t="n">
        <v>12</v>
      </c>
      <c r="B14" s="54" t="inlineStr">
        <is>
          <t>Hot</t>
        </is>
      </c>
      <c r="C14" s="52" t="n">
        <v>9</v>
      </c>
      <c r="D14" s="52" t="inlineStr">
        <is>
          <t>Follow up QDAP</t>
        </is>
      </c>
      <c r="E14" s="52" t="inlineStr">
        <is>
          <t>L0</t>
        </is>
      </c>
      <c r="F14" s="52" t="n"/>
      <c r="G14" s="52" t="inlineStr">
        <is>
          <t>Mui Chun Tat</t>
        </is>
      </c>
      <c r="H14" s="52" t="inlineStr">
        <is>
          <t>Tat</t>
        </is>
      </c>
      <c r="I14" s="52" t="inlineStr">
        <is>
          <t>54851118</t>
        </is>
      </c>
      <c r="J14" s="52" t="inlineStr">
        <is>
          <t>Male</t>
        </is>
      </c>
      <c r="K14" s="52" t="inlineStr">
        <is>
          <t>23</t>
        </is>
      </c>
    </row>
    <row r="15">
      <c r="A15" s="52" t="n">
        <v>13</v>
      </c>
      <c r="B15" s="54" t="inlineStr">
        <is>
          <t>Hot</t>
        </is>
      </c>
      <c r="C15" s="52" t="n">
        <v>9</v>
      </c>
      <c r="D15" s="52" t="inlineStr">
        <is>
          <t>Nex apt april</t>
        </is>
      </c>
      <c r="E15" s="52" t="inlineStr">
        <is>
          <t>L3</t>
        </is>
      </c>
      <c r="F15" s="52" t="n"/>
      <c r="G15" s="52" t="inlineStr">
        <is>
          <t>Ng Ki Yi</t>
        </is>
      </c>
      <c r="H15" s="52" t="inlineStr">
        <is>
          <t>Kelly</t>
        </is>
      </c>
      <c r="I15" s="52" t="inlineStr">
        <is>
          <t>61655660</t>
        </is>
      </c>
      <c r="J15" s="52" t="inlineStr">
        <is>
          <t>Female</t>
        </is>
      </c>
      <c r="K15" s="52" t="inlineStr">
        <is>
          <t>23</t>
        </is>
      </c>
    </row>
    <row r="16">
      <c r="A16" s="52" t="n">
        <v>14</v>
      </c>
      <c r="B16" s="54" t="inlineStr">
        <is>
          <t>Hot</t>
        </is>
      </c>
      <c r="C16" s="52" t="n">
        <v>9</v>
      </c>
      <c r="D16" s="52" t="inlineStr">
        <is>
          <t>follow up saving/ medical (to be confirm appt time )</t>
        </is>
      </c>
      <c r="E16" s="52" t="inlineStr">
        <is>
          <t>L0</t>
        </is>
      </c>
      <c r="F16" s="52" t="n"/>
      <c r="G16" s="52" t="inlineStr">
        <is>
          <t>Yuen Chun Hung</t>
        </is>
      </c>
      <c r="H16" s="52" t="inlineStr">
        <is>
          <t>Sunny</t>
        </is>
      </c>
      <c r="I16" s="52" t="inlineStr">
        <is>
          <t>56229813</t>
        </is>
      </c>
      <c r="J16" s="52" t="inlineStr">
        <is>
          <t>Male</t>
        </is>
      </c>
      <c r="K16" s="52" t="inlineStr">
        <is>
          <t>23</t>
        </is>
      </c>
    </row>
    <row r="17">
      <c r="A17" s="52" t="n">
        <v>15</v>
      </c>
      <c r="B17" s="54" t="inlineStr">
        <is>
          <t>Hot</t>
        </is>
      </c>
      <c r="C17" s="52" t="n">
        <v>9</v>
      </c>
      <c r="D17" s="52" t="n"/>
      <c r="E17" s="52" t="inlineStr">
        <is>
          <t>NEW</t>
        </is>
      </c>
      <c r="F17" s="52" t="n"/>
      <c r="G17" s="52" t="inlineStr">
        <is>
          <t>Cheng Kwai Tai</t>
        </is>
      </c>
      <c r="H17" s="52" t="inlineStr">
        <is>
          <t>None</t>
        </is>
      </c>
      <c r="I17" s="52" t="inlineStr">
        <is>
          <t>64166451</t>
        </is>
      </c>
      <c r="J17" s="52" t="inlineStr">
        <is>
          <t>Female</t>
        </is>
      </c>
      <c r="K17" s="52" t="inlineStr">
        <is>
          <t>56</t>
        </is>
      </c>
    </row>
    <row r="18">
      <c r="A18" s="52" t="n">
        <v>16</v>
      </c>
      <c r="B18" s="54" t="inlineStr">
        <is>
          <t>Hot</t>
        </is>
      </c>
      <c r="C18" s="52" t="n">
        <v>8</v>
      </c>
      <c r="D18" s="52" t="inlineStr">
        <is>
          <t>Follow up on may assst $600000 (follow up on 2026)</t>
        </is>
      </c>
      <c r="E18" s="52" t="inlineStr">
        <is>
          <t>NEW</t>
        </is>
      </c>
      <c r="F18" s="52" t="n"/>
      <c r="G18" s="52" t="n"/>
      <c r="H18" s="52" t="inlineStr">
        <is>
          <t>Miss cheung</t>
        </is>
      </c>
      <c r="I18" s="52" t="inlineStr">
        <is>
          <t>97528151</t>
        </is>
      </c>
      <c r="J18" s="52" t="inlineStr">
        <is>
          <t>female</t>
        </is>
      </c>
      <c r="K18" s="52" t="inlineStr">
        <is>
          <t>63</t>
        </is>
      </c>
    </row>
    <row r="19">
      <c r="A19" s="52" t="n">
        <v>17</v>
      </c>
      <c r="B19" s="54" t="inlineStr">
        <is>
          <t>Hot</t>
        </is>
      </c>
      <c r="C19" s="52" t="n">
        <v>8</v>
      </c>
      <c r="D19" s="52" t="inlineStr">
        <is>
          <t>Recurit target/ GI physio 7/4 recurit</t>
        </is>
      </c>
      <c r="E19" s="52" t="inlineStr">
        <is>
          <t>NEW</t>
        </is>
      </c>
      <c r="F19" s="52" t="n"/>
      <c r="G19" s="52" t="inlineStr">
        <is>
          <t>Law Ho Sing</t>
        </is>
      </c>
      <c r="H19" s="52" t="inlineStr">
        <is>
          <t>Tommy</t>
        </is>
      </c>
      <c r="I19" s="52" t="inlineStr">
        <is>
          <t>66535089</t>
        </is>
      </c>
      <c r="J19" s="52" t="inlineStr">
        <is>
          <t>Male</t>
        </is>
      </c>
      <c r="K19" s="52" t="inlineStr">
        <is>
          <t>23</t>
        </is>
      </c>
    </row>
    <row r="20">
      <c r="A20" s="52" t="n">
        <v>18</v>
      </c>
      <c r="B20" s="54" t="inlineStr">
        <is>
          <t>Hot</t>
        </is>
      </c>
      <c r="C20" s="52" t="n">
        <v>8</v>
      </c>
      <c r="D20" s="52" t="inlineStr">
        <is>
          <t>To be confirm</t>
        </is>
      </c>
      <c r="E20" s="52" t="inlineStr">
        <is>
          <t>L2</t>
        </is>
      </c>
      <c r="F20" s="52" t="n"/>
      <c r="G20" s="52" t="inlineStr">
        <is>
          <t>william wong</t>
        </is>
      </c>
      <c r="H20" s="52" t="inlineStr">
        <is>
          <t>William</t>
        </is>
      </c>
      <c r="I20" s="52" t="inlineStr">
        <is>
          <t>54228934</t>
        </is>
      </c>
      <c r="J20" s="52" t="inlineStr">
        <is>
          <t>Male</t>
        </is>
      </c>
      <c r="K20" s="52" t="inlineStr">
        <is>
          <t>24</t>
        </is>
      </c>
    </row>
    <row r="21">
      <c r="A21" s="52" t="n">
        <v>19</v>
      </c>
      <c r="B21" s="54" t="inlineStr">
        <is>
          <t>Hot</t>
        </is>
      </c>
      <c r="C21" s="52" t="n">
        <v>8</v>
      </c>
      <c r="D21" s="52" t="inlineStr">
        <is>
          <t>Follow up New Update</t>
        </is>
      </c>
      <c r="E21" s="52" t="inlineStr">
        <is>
          <t>L0</t>
        </is>
      </c>
      <c r="F21" s="52" t="n"/>
      <c r="G21" s="52" t="inlineStr">
        <is>
          <t>呀勇</t>
        </is>
      </c>
      <c r="H21" s="52" t="inlineStr">
        <is>
          <t>呀勇</t>
        </is>
      </c>
      <c r="I21" s="52" t="inlineStr">
        <is>
          <t>69396146</t>
        </is>
      </c>
      <c r="J21" s="52" t="inlineStr">
        <is>
          <t>male</t>
        </is>
      </c>
      <c r="K21" s="52" t="inlineStr">
        <is>
          <t>35</t>
        </is>
      </c>
    </row>
    <row r="22">
      <c r="A22" s="52" t="n">
        <v>20</v>
      </c>
      <c r="B22" s="53" t="inlineStr">
        <is>
          <t>Client</t>
        </is>
      </c>
      <c r="C22" s="52" t="n">
        <v>8</v>
      </c>
      <c r="D22" s="52" t="n"/>
      <c r="E22" s="52" t="inlineStr">
        <is>
          <t>NEW</t>
        </is>
      </c>
      <c r="F22" s="52" t="inlineStr">
        <is>
          <t>Yes</t>
        </is>
      </c>
      <c r="G22" s="52" t="inlineStr">
        <is>
          <t>Cheung Chi Hi</t>
        </is>
      </c>
      <c r="H22" s="52" t="inlineStr">
        <is>
          <t>Leo</t>
        </is>
      </c>
      <c r="I22" s="52" t="inlineStr">
        <is>
          <t>54052549</t>
        </is>
      </c>
      <c r="J22" s="52" t="inlineStr">
        <is>
          <t>Male</t>
        </is>
      </c>
      <c r="K22" s="52" t="inlineStr">
        <is>
          <t>23</t>
        </is>
      </c>
    </row>
    <row r="23">
      <c r="A23" s="52" t="n">
        <v>21</v>
      </c>
      <c r="B23" s="55" t="inlineStr">
        <is>
          <t>Warm</t>
        </is>
      </c>
      <c r="C23" s="52" t="n">
        <v>7</v>
      </c>
      <c r="D23" s="52" t="inlineStr">
        <is>
          <t>rearrange time to upcoming date</t>
        </is>
      </c>
      <c r="E23" s="52" t="inlineStr">
        <is>
          <t>NEW</t>
        </is>
      </c>
      <c r="F23" s="52" t="n"/>
      <c r="G23" s="52" t="inlineStr">
        <is>
          <t>Derek Tsang</t>
        </is>
      </c>
      <c r="H23" s="52" t="inlineStr">
        <is>
          <t>Derek</t>
        </is>
      </c>
      <c r="I23" s="52" t="inlineStr">
        <is>
          <t>93148806</t>
        </is>
      </c>
      <c r="J23" s="52" t="inlineStr">
        <is>
          <t>Male</t>
        </is>
      </c>
      <c r="K23" s="52" t="inlineStr">
        <is>
          <t>26</t>
        </is>
      </c>
    </row>
    <row r="24">
      <c r="A24" s="52" t="n">
        <v>22</v>
      </c>
      <c r="B24" s="55" t="inlineStr">
        <is>
          <t>Warm</t>
        </is>
      </c>
      <c r="C24" s="52" t="n">
        <v>7</v>
      </c>
      <c r="D24" s="52" t="inlineStr">
        <is>
          <t>follow up deposi/t on 2026</t>
        </is>
      </c>
      <c r="E24" s="52" t="inlineStr">
        <is>
          <t>NEW</t>
        </is>
      </c>
      <c r="F24" s="52" t="n"/>
      <c r="G24" s="52" t="inlineStr">
        <is>
          <t>Miss Cheung</t>
        </is>
      </c>
      <c r="H24" s="52" t="inlineStr">
        <is>
          <t>Ho</t>
        </is>
      </c>
      <c r="I24" s="52" t="inlineStr">
        <is>
          <t>94647856</t>
        </is>
      </c>
      <c r="J24" s="52" t="inlineStr">
        <is>
          <t>female</t>
        </is>
      </c>
      <c r="K24" s="52" t="inlineStr">
        <is>
          <t>69</t>
        </is>
      </c>
    </row>
    <row r="25">
      <c r="A25" s="52" t="n">
        <v>23</v>
      </c>
      <c r="B25" s="55" t="inlineStr">
        <is>
          <t>Warm</t>
        </is>
      </c>
      <c r="C25" s="52" t="n">
        <v>7</v>
      </c>
      <c r="D25" s="52" t="inlineStr">
        <is>
          <t>Recurit target</t>
        </is>
      </c>
      <c r="E25" s="52" t="inlineStr">
        <is>
          <t>NEW</t>
        </is>
      </c>
      <c r="F25" s="52" t="n"/>
      <c r="G25" s="52" t="inlineStr">
        <is>
          <t>Queenie Chong</t>
        </is>
      </c>
      <c r="H25" s="52" t="inlineStr">
        <is>
          <t>Queenie</t>
        </is>
      </c>
      <c r="I25" s="52" t="inlineStr">
        <is>
          <t>63334940</t>
        </is>
      </c>
      <c r="J25" s="52" t="inlineStr">
        <is>
          <t>Female</t>
        </is>
      </c>
      <c r="K25" s="52" t="inlineStr">
        <is>
          <t>30</t>
        </is>
      </c>
    </row>
    <row r="26">
      <c r="A26" s="52" t="n">
        <v>24</v>
      </c>
      <c r="B26" s="55" t="inlineStr">
        <is>
          <t>Warm</t>
        </is>
      </c>
      <c r="C26" s="52" t="n">
        <v>7</v>
      </c>
      <c r="D26" s="52" t="inlineStr">
        <is>
          <t>keep warm</t>
        </is>
      </c>
      <c r="E26" s="52" t="inlineStr">
        <is>
          <t>NEW</t>
        </is>
      </c>
      <c r="F26" s="52" t="n"/>
      <c r="G26" s="52" t="inlineStr">
        <is>
          <t>Suki</t>
        </is>
      </c>
      <c r="H26" s="52" t="inlineStr">
        <is>
          <t>Suki</t>
        </is>
      </c>
      <c r="I26" s="52" t="inlineStr">
        <is>
          <t>54014179</t>
        </is>
      </c>
      <c r="J26" s="52" t="inlineStr">
        <is>
          <t>Female</t>
        </is>
      </c>
      <c r="K26" s="52" t="inlineStr">
        <is>
          <t>24</t>
        </is>
      </c>
    </row>
    <row r="27">
      <c r="A27" s="52" t="n">
        <v>26</v>
      </c>
      <c r="B27" s="55" t="inlineStr">
        <is>
          <t>Warm</t>
        </is>
      </c>
      <c r="C27" s="52" t="n">
        <v>6</v>
      </c>
      <c r="D27" s="52" t="inlineStr">
        <is>
          <t>To be confirm for appt time</t>
        </is>
      </c>
      <c r="E27" s="52" t="inlineStr">
        <is>
          <t>L1</t>
        </is>
      </c>
      <c r="F27" s="52" t="n"/>
      <c r="G27" s="52" t="inlineStr">
        <is>
          <t>Eva</t>
        </is>
      </c>
      <c r="H27" s="52" t="inlineStr">
        <is>
          <t>Eva</t>
        </is>
      </c>
      <c r="I27" s="52" t="inlineStr">
        <is>
          <t>66832709</t>
        </is>
      </c>
      <c r="J27" s="52" t="inlineStr">
        <is>
          <t>Female</t>
        </is>
      </c>
      <c r="K27" s="52" t="inlineStr">
        <is>
          <t>53</t>
        </is>
      </c>
    </row>
    <row r="28">
      <c r="A28" s="52" t="n">
        <v>27</v>
      </c>
      <c r="B28" s="55" t="inlineStr">
        <is>
          <t>Warm</t>
        </is>
      </c>
      <c r="C28" s="52" t="n">
        <v>6</v>
      </c>
      <c r="D28" s="52" t="inlineStr">
        <is>
          <t>Follow up medical  (Monday)</t>
        </is>
      </c>
      <c r="E28" s="52" t="inlineStr">
        <is>
          <t>NEW</t>
        </is>
      </c>
      <c r="F28" s="52" t="n"/>
      <c r="G28" s="52" t="inlineStr">
        <is>
          <t>Yeung Tzs kun</t>
        </is>
      </c>
      <c r="H28" s="52" t="inlineStr">
        <is>
          <t>Joe</t>
        </is>
      </c>
      <c r="I28" s="52" t="inlineStr">
        <is>
          <t>61510772</t>
        </is>
      </c>
      <c r="J28" s="52" t="inlineStr">
        <is>
          <t>Male</t>
        </is>
      </c>
      <c r="K28" s="52" t="inlineStr">
        <is>
          <t>23</t>
        </is>
      </c>
    </row>
    <row r="29">
      <c r="A29" s="52" t="n">
        <v>34</v>
      </c>
      <c r="B29" s="52" t="inlineStr">
        <is>
          <t>Nurture</t>
        </is>
      </c>
      <c r="C29" s="52" t="n">
        <v>5</v>
      </c>
      <c r="D29" s="52" t="inlineStr">
        <is>
          <t>keep warm</t>
        </is>
      </c>
      <c r="E29" s="52" t="inlineStr">
        <is>
          <t>NEW</t>
        </is>
      </c>
      <c r="F29" s="52" t="n"/>
      <c r="G29" s="52" t="inlineStr">
        <is>
          <t>tracy tam</t>
        </is>
      </c>
      <c r="H29" s="52" t="inlineStr">
        <is>
          <t>tracy</t>
        </is>
      </c>
      <c r="I29" s="52" t="inlineStr">
        <is>
          <t>63517678</t>
        </is>
      </c>
      <c r="J29" s="52" t="inlineStr">
        <is>
          <t>Female</t>
        </is>
      </c>
      <c r="K29" s="52" t="inlineStr">
        <is>
          <t>28</t>
        </is>
      </c>
    </row>
    <row r="30">
      <c r="A30" s="52" t="n">
        <v>57</v>
      </c>
      <c r="B30" s="52" t="inlineStr">
        <is>
          <t>Nurture</t>
        </is>
      </c>
      <c r="C30" s="52" t="n">
        <v>4</v>
      </c>
      <c r="D30" s="52" t="inlineStr">
        <is>
          <t>follow up medical and stock (</t>
        </is>
      </c>
      <c r="E30" s="52" t="inlineStr">
        <is>
          <t>NEW</t>
        </is>
      </c>
      <c r="F30" s="52" t="n"/>
      <c r="G30" s="52" t="inlineStr">
        <is>
          <t>Leo Cheung</t>
        </is>
      </c>
      <c r="H30" s="52" t="inlineStr">
        <is>
          <t>Leo</t>
        </is>
      </c>
      <c r="I30" s="52" t="n"/>
      <c r="J30" s="52" t="inlineStr">
        <is>
          <t>Male</t>
        </is>
      </c>
      <c r="K30" s="52" t="inlineStr">
        <is>
          <t>24</t>
        </is>
      </c>
    </row>
    <row r="31">
      <c r="A31" s="52" t="n">
        <v>59</v>
      </c>
      <c r="B31" s="53" t="inlineStr">
        <is>
          <t>Client</t>
        </is>
      </c>
      <c r="C31" s="52" t="n">
        <v>4</v>
      </c>
      <c r="D31" s="52" t="n"/>
      <c r="E31" s="52" t="inlineStr">
        <is>
          <t>NEW</t>
        </is>
      </c>
      <c r="F31" s="52" t="inlineStr">
        <is>
          <t>Yes</t>
        </is>
      </c>
      <c r="G31" s="52" t="inlineStr">
        <is>
          <t>Cheung tsz Hei</t>
        </is>
      </c>
      <c r="H31" s="52" t="inlineStr">
        <is>
          <t>Rache</t>
        </is>
      </c>
      <c r="I31" s="52" t="n"/>
      <c r="J31" s="52" t="inlineStr">
        <is>
          <t>Female</t>
        </is>
      </c>
      <c r="K31" s="52" t="inlineStr">
        <is>
          <t>24</t>
        </is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5AD5"/>
    <outlinePr summaryBelow="1" summaryRight="1"/>
    <pageSetUpPr/>
  </sheetPr>
  <dimension ref="A1:L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5" max="5"/>
    <col width="42" customWidth="1" min="6" max="6"/>
    <col width="12" customWidth="1" min="7" max="7"/>
    <col width="12" customWidth="1" min="8" max="8"/>
  </cols>
  <sheetData>
    <row r="1">
      <c r="A1" s="56" t="inlineStr">
        <is>
          <t>In-force policies (from book)</t>
        </is>
      </c>
    </row>
    <row r="2">
      <c r="A2" s="23" t="inlineStr">
        <is>
          <t>Team</t>
        </is>
      </c>
      <c r="B2" s="23" t="inlineStr">
        <is>
          <t>Agent</t>
        </is>
      </c>
      <c r="C2" s="23" t="inlineStr">
        <is>
          <t>Policyowner</t>
        </is>
      </c>
      <c r="D2" s="23" t="inlineStr">
        <is>
          <t>Insured</t>
        </is>
      </c>
      <c r="E2" s="23" t="inlineStr">
        <is>
          <t>Policy #</t>
        </is>
      </c>
      <c r="F2" s="23" t="inlineStr">
        <is>
          <t>Plan</t>
        </is>
      </c>
      <c r="G2" s="23" t="inlineStr">
        <is>
          <t>App Date</t>
        </is>
      </c>
      <c r="H2" s="23" t="inlineStr">
        <is>
          <t>Issue Date</t>
        </is>
      </c>
      <c r="I2" s="23" t="inlineStr">
        <is>
          <t>Status</t>
        </is>
      </c>
      <c r="J2" s="23" t="inlineStr">
        <is>
          <t>Term</t>
        </is>
      </c>
      <c r="K2" s="23" t="inlineStr">
        <is>
          <t>Expiry</t>
        </is>
      </c>
      <c r="L2" s="23" t="inlineStr">
        <is>
          <t>Tracking</t>
        </is>
      </c>
    </row>
    <row r="3">
      <c r="A3" s="57" t="inlineStr">
        <is>
          <t>徐語希管理組</t>
        </is>
      </c>
      <c r="B3" s="57" t="inlineStr">
        <is>
          <t>龍浩賢</t>
        </is>
      </c>
      <c r="C3" s="57" t="inlineStr">
        <is>
          <t>LAU FAI FUNG CANDY</t>
        </is>
      </c>
      <c r="D3" s="57" t="inlineStr">
        <is>
          <t>LAU FAI FUNG CANDY</t>
        </is>
      </c>
      <c r="E3" s="57" t="inlineStr">
        <is>
          <t>3719429688</t>
        </is>
      </c>
      <c r="F3" s="57" t="inlineStr">
        <is>
          <t>GLAMOROUS GLOW GLOBAL WHOLE LIFE INSURANCE PLAN</t>
        </is>
      </c>
      <c r="G3" s="57" t="inlineStr">
        <is>
          <t>2025-01-27</t>
        </is>
      </c>
      <c r="H3" s="57" t="inlineStr">
        <is>
          <t>2025-03-20</t>
        </is>
      </c>
      <c r="I3" s="57" t="inlineStr">
        <is>
          <t>Inforce</t>
        </is>
      </c>
      <c r="J3" s="57" t="inlineStr">
        <is>
          <t>2</t>
        </is>
      </c>
      <c r="K3" s="57" t="inlineStr">
        <is>
          <t>2106-03-20</t>
        </is>
      </c>
      <c r="L3" s="57" t="inlineStr">
        <is>
          <t>n/a</t>
        </is>
      </c>
    </row>
    <row r="4">
      <c r="A4" s="58" t="inlineStr">
        <is>
          <t>徐語希管理組</t>
        </is>
      </c>
      <c r="B4" s="58" t="inlineStr">
        <is>
          <t>龍浩賢</t>
        </is>
      </c>
      <c r="C4" s="58" t="inlineStr">
        <is>
          <t>LUNG ON KI</t>
        </is>
      </c>
      <c r="D4" s="58" t="inlineStr">
        <is>
          <t>LUNG ON KI</t>
        </is>
      </c>
      <c r="E4" s="58" t="inlineStr">
        <is>
          <t>3769146388</t>
        </is>
      </c>
      <c r="F4" s="58" t="inlineStr">
        <is>
          <t>SMARTUP PRO WHOLE LIFE PLAN</t>
        </is>
      </c>
      <c r="G4" s="58" t="inlineStr">
        <is>
          <t>2024-11-29</t>
        </is>
      </c>
      <c r="H4" s="58" t="inlineStr">
        <is>
          <t>2024-12-05</t>
        </is>
      </c>
      <c r="I4" s="58" t="inlineStr">
        <is>
          <t>Inforce</t>
        </is>
      </c>
      <c r="J4" s="58" t="inlineStr">
        <is>
          <t>10</t>
        </is>
      </c>
      <c r="K4" s="58" t="inlineStr">
        <is>
          <t>2129-11-28</t>
        </is>
      </c>
      <c r="L4" s="58" t="inlineStr">
        <is>
          <t>n/a</t>
        </is>
      </c>
    </row>
    <row r="5">
      <c r="A5" s="57" t="inlineStr">
        <is>
          <t>徐語希管理組</t>
        </is>
      </c>
      <c r="B5" s="57" t="inlineStr">
        <is>
          <t>龍浩賢</t>
        </is>
      </c>
      <c r="C5" s="57" t="inlineStr">
        <is>
          <t>LUNG ON KI</t>
        </is>
      </c>
      <c r="D5" s="57" t="inlineStr">
        <is>
          <t>LUNG ON KI</t>
        </is>
      </c>
      <c r="E5" s="57" t="inlineStr">
        <is>
          <t>3769150788</t>
        </is>
      </c>
      <c r="F5" s="57" t="inlineStr">
        <is>
          <t>GLAMOROUS GLOW GLOBAL WHOLE LIFE INSURANCE PLAN</t>
        </is>
      </c>
      <c r="G5" s="57" t="inlineStr">
        <is>
          <t>2024-11-30</t>
        </is>
      </c>
      <c r="H5" s="57" t="inlineStr">
        <is>
          <t>2024-12-05</t>
        </is>
      </c>
      <c r="I5" s="57" t="inlineStr">
        <is>
          <t>Inforce</t>
        </is>
      </c>
      <c r="J5" s="57" t="inlineStr">
        <is>
          <t>5</t>
        </is>
      </c>
      <c r="K5" s="57" t="inlineStr">
        <is>
          <t>2129-11-28</t>
        </is>
      </c>
      <c r="L5" s="57" t="inlineStr">
        <is>
          <t>n/a</t>
        </is>
      </c>
    </row>
    <row r="6">
      <c r="A6" s="58" t="inlineStr">
        <is>
          <t>徐語希管理組</t>
        </is>
      </c>
      <c r="B6" s="58" t="inlineStr">
        <is>
          <t>龍浩賢</t>
        </is>
      </c>
      <c r="C6" s="58" t="inlineStr">
        <is>
          <t>LUNG ON KI</t>
        </is>
      </c>
      <c r="D6" s="58" t="inlineStr">
        <is>
          <t>LUNG ON KI</t>
        </is>
      </c>
      <c r="E6" s="58" t="inlineStr">
        <is>
          <t>3769238988</t>
        </is>
      </c>
      <c r="F6" s="58" t="inlineStr">
        <is>
          <t>CRITICAL ILLNESS 188 WHOLE LIFE INSURANCE PLAN</t>
        </is>
      </c>
      <c r="G6" s="58" t="inlineStr">
        <is>
          <t>2024-11-30</t>
        </is>
      </c>
      <c r="H6" s="58" t="inlineStr">
        <is>
          <t>2024-12-24</t>
        </is>
      </c>
      <c r="I6" s="58" t="inlineStr">
        <is>
          <t>Inforce</t>
        </is>
      </c>
      <c r="J6" s="58" t="inlineStr">
        <is>
          <t>25</t>
        </is>
      </c>
      <c r="K6" s="58" t="inlineStr">
        <is>
          <t>2129-12-24</t>
        </is>
      </c>
      <c r="L6" s="58" t="inlineStr">
        <is>
          <t>n/a</t>
        </is>
      </c>
    </row>
    <row r="7">
      <c r="A7" s="57" t="inlineStr">
        <is>
          <t>徐語希管理組</t>
        </is>
      </c>
      <c r="B7" s="57" t="inlineStr">
        <is>
          <t>龍浩賢</t>
        </is>
      </c>
      <c r="C7" s="57" t="inlineStr">
        <is>
          <t>LEUNG WAI KI</t>
        </is>
      </c>
      <c r="D7" s="57" t="inlineStr">
        <is>
          <t>LEUNG WAI KI</t>
        </is>
      </c>
      <c r="E7" s="57" t="inlineStr">
        <is>
          <t>3769422988</t>
        </is>
      </c>
      <c r="F7" s="57" t="inlineStr">
        <is>
          <t>PROTECTU INSURANCE PLAN (WITH CRITICAL ILLNESS PROTECTION)</t>
        </is>
      </c>
      <c r="G7" s="57" t="inlineStr">
        <is>
          <t>2024-12-02</t>
        </is>
      </c>
      <c r="H7" s="57" t="inlineStr">
        <is>
          <t>2024-12-05</t>
        </is>
      </c>
      <c r="I7" s="57" t="inlineStr">
        <is>
          <t>Inforce</t>
        </is>
      </c>
      <c r="J7" s="57" t="inlineStr">
        <is>
          <t>56</t>
        </is>
      </c>
      <c r="K7" s="57" t="inlineStr">
        <is>
          <t>2080-12-03</t>
        </is>
      </c>
      <c r="L7" s="57" t="inlineStr">
        <is>
          <t>n/a</t>
        </is>
      </c>
    </row>
    <row r="8">
      <c r="A8" s="58" t="inlineStr">
        <is>
          <t>徐語希管理組</t>
        </is>
      </c>
      <c r="B8" s="58" t="inlineStr">
        <is>
          <t>龍浩賢</t>
        </is>
      </c>
      <c r="C8" s="58" t="inlineStr">
        <is>
          <t>LEUNG WAI KI</t>
        </is>
      </c>
      <c r="D8" s="58" t="inlineStr">
        <is>
          <t>LEUNG WAI KI</t>
        </is>
      </c>
      <c r="E8" s="58" t="inlineStr">
        <is>
          <t>3769423988</t>
        </is>
      </c>
      <c r="F8" s="58" t="inlineStr">
        <is>
          <t>GLAMOROUS GLOW GLOBAL WHOLE LIFE INSURANCE PLAN</t>
        </is>
      </c>
      <c r="G8" s="58" t="inlineStr">
        <is>
          <t>2024-12-02</t>
        </is>
      </c>
      <c r="H8" s="58" t="inlineStr">
        <is>
          <t>2024-12-10</t>
        </is>
      </c>
      <c r="I8" s="58" t="inlineStr">
        <is>
          <t>Inforce</t>
        </is>
      </c>
      <c r="J8" s="58" t="inlineStr">
        <is>
          <t>5</t>
        </is>
      </c>
      <c r="K8" s="58" t="inlineStr">
        <is>
          <t>2130-12-10</t>
        </is>
      </c>
      <c r="L8" s="58" t="inlineStr">
        <is>
          <t>n/a</t>
        </is>
      </c>
    </row>
    <row r="9">
      <c r="A9" s="57" t="inlineStr">
        <is>
          <t>徐語希管理組</t>
        </is>
      </c>
      <c r="B9" s="57" t="inlineStr">
        <is>
          <t>龍浩賢</t>
        </is>
      </c>
      <c r="C9" s="57" t="inlineStr">
        <is>
          <t>YU CHUN KIN</t>
        </is>
      </c>
      <c r="D9" s="57" t="inlineStr">
        <is>
          <t>YU CHUN KIN</t>
        </is>
      </c>
      <c r="E9" s="57" t="inlineStr">
        <is>
          <t>3771602988</t>
        </is>
      </c>
      <c r="F9" s="57" t="inlineStr">
        <is>
          <t>PROTECTU INSURANCE PLAN (WITH CRITICAL ILLNESS PROTECTION)</t>
        </is>
      </c>
      <c r="G9" s="57" t="inlineStr">
        <is>
          <t>2025-06-24</t>
        </is>
      </c>
      <c r="H9" s="57" t="inlineStr">
        <is>
          <t>2025-07-08</t>
        </is>
      </c>
      <c r="I9" s="57" t="inlineStr">
        <is>
          <t>Inforce</t>
        </is>
      </c>
      <c r="J9" s="57" t="inlineStr">
        <is>
          <t>56</t>
        </is>
      </c>
      <c r="K9" s="57" t="inlineStr">
        <is>
          <t>2081-07-07</t>
        </is>
      </c>
      <c r="L9" s="57" t="inlineStr">
        <is>
          <t>n/a</t>
        </is>
      </c>
    </row>
    <row r="10">
      <c r="A10" s="58" t="inlineStr">
        <is>
          <t>徐語希管理組</t>
        </is>
      </c>
      <c r="B10" s="58" t="inlineStr">
        <is>
          <t>龍浩賢</t>
        </is>
      </c>
      <c r="C10" s="58" t="inlineStr">
        <is>
          <t>YU CHUN KIN</t>
        </is>
      </c>
      <c r="D10" s="58" t="inlineStr">
        <is>
          <t>YU CHUN KIN</t>
        </is>
      </c>
      <c r="E10" s="58" t="inlineStr">
        <is>
          <t>3771604888</t>
        </is>
      </c>
      <c r="F10" s="58" t="inlineStr">
        <is>
          <t>CRITICAL ILLNESS 188 WHOLE LIFE INSURANCE PLAN</t>
        </is>
      </c>
      <c r="G10" s="58" t="inlineStr">
        <is>
          <t>2025-06-24</t>
        </is>
      </c>
      <c r="H10" s="58" t="inlineStr">
        <is>
          <t>2025-07-07</t>
        </is>
      </c>
      <c r="I10" s="58" t="inlineStr">
        <is>
          <t>Inforce</t>
        </is>
      </c>
      <c r="J10" s="58" t="inlineStr">
        <is>
          <t>25</t>
        </is>
      </c>
      <c r="K10" s="58" t="inlineStr">
        <is>
          <t>2131-07-07</t>
        </is>
      </c>
      <c r="L10" s="58" t="inlineStr">
        <is>
          <t>n/a</t>
        </is>
      </c>
    </row>
    <row r="11">
      <c r="A11" s="57" t="inlineStr">
        <is>
          <t>徐語希管理組</t>
        </is>
      </c>
      <c r="B11" s="57" t="inlineStr">
        <is>
          <t>龍浩賢</t>
        </is>
      </c>
      <c r="C11" s="57" t="inlineStr">
        <is>
          <t>YU LOK FAI</t>
        </is>
      </c>
      <c r="D11" s="57" t="inlineStr">
        <is>
          <t>YU LOK FAI</t>
        </is>
      </c>
      <c r="E11" s="57" t="n"/>
      <c r="F11" s="57" t="inlineStr">
        <is>
          <t>BOC LIFE DEFERRED ANNUITY (LIFETIME)</t>
        </is>
      </c>
      <c r="G11" s="57" t="n"/>
      <c r="H11" s="57" t="inlineStr">
        <is>
          <t>2025-03-25</t>
        </is>
      </c>
      <c r="I11" s="57" t="inlineStr">
        <is>
          <t>Inforce</t>
        </is>
      </c>
      <c r="J11" s="57" t="n"/>
      <c r="K11" s="57" t="inlineStr">
        <is>
          <t>2092-03-25</t>
        </is>
      </c>
      <c r="L11" s="57" t="inlineStr">
        <is>
          <t>n/a</t>
        </is>
      </c>
    </row>
    <row r="12">
      <c r="A12" s="58" t="inlineStr">
        <is>
          <t>徐語希管理組</t>
        </is>
      </c>
      <c r="B12" s="58" t="inlineStr">
        <is>
          <t>龍浩賢</t>
        </is>
      </c>
      <c r="C12" s="58" t="inlineStr">
        <is>
          <t>NG KA YI</t>
        </is>
      </c>
      <c r="D12" s="58" t="inlineStr">
        <is>
          <t>NG KA YI</t>
        </is>
      </c>
      <c r="E12" s="58" t="n"/>
      <c r="F12" s="58" t="inlineStr">
        <is>
          <t>PROTECTU INSURANCE PLAN (WITH CRITICAL ILLNESS PROTECTION)</t>
        </is>
      </c>
      <c r="G12" s="58" t="n"/>
      <c r="H12" s="58" t="inlineStr">
        <is>
          <t>2024-12-21</t>
        </is>
      </c>
      <c r="I12" s="58" t="inlineStr">
        <is>
          <t>Inforce</t>
        </is>
      </c>
      <c r="J12" s="58" t="n"/>
      <c r="K12" s="58" t="inlineStr">
        <is>
          <t>2082-01-19</t>
        </is>
      </c>
      <c r="L12" s="58" t="inlineStr">
        <is>
          <t>n/a</t>
        </is>
      </c>
    </row>
    <row r="13">
      <c r="A13" s="57" t="inlineStr">
        <is>
          <t>徐語希管理組</t>
        </is>
      </c>
      <c r="B13" s="57" t="inlineStr">
        <is>
          <t>龍浩賢</t>
        </is>
      </c>
      <c r="C13" s="57" t="inlineStr">
        <is>
          <t>NG KA YI</t>
        </is>
      </c>
      <c r="D13" s="57" t="inlineStr">
        <is>
          <t>NG KA YI</t>
        </is>
      </c>
      <c r="E13" s="57" t="n"/>
      <c r="F13" s="57" t="inlineStr">
        <is>
          <t>GLAMOROUS GLOW GLOBAL WHOLE LIFE INSURANCE PLAN</t>
        </is>
      </c>
      <c r="G13" s="57" t="n"/>
      <c r="H13" s="57" t="inlineStr">
        <is>
          <t>2024-12-21</t>
        </is>
      </c>
      <c r="I13" s="57" t="inlineStr">
        <is>
          <t>Inforce</t>
        </is>
      </c>
      <c r="J13" s="57" t="n"/>
      <c r="K13" s="57" t="inlineStr">
        <is>
          <t>2132-01-19</t>
        </is>
      </c>
      <c r="L13" s="57" t="inlineStr">
        <is>
          <t>n/a</t>
        </is>
      </c>
    </row>
    <row r="14">
      <c r="A14" s="58" t="inlineStr">
        <is>
          <t>徐語希管理組</t>
        </is>
      </c>
      <c r="B14" s="58" t="inlineStr">
        <is>
          <t>龍浩賢</t>
        </is>
      </c>
      <c r="C14" s="58" t="inlineStr">
        <is>
          <t>FUNG SAU FONG</t>
        </is>
      </c>
      <c r="D14" s="58" t="inlineStr">
        <is>
          <t>FUNG SAU FONG</t>
        </is>
      </c>
      <c r="E14" s="58" t="n"/>
      <c r="F14" s="58" t="inlineStr">
        <is>
          <t>BOC LIFE DEFERRED ANNUITY (LIFETIME)</t>
        </is>
      </c>
      <c r="G14" s="58" t="n"/>
      <c r="H14" s="58" t="inlineStr">
        <is>
          <t>2024-12-26</t>
        </is>
      </c>
      <c r="I14" s="58" t="inlineStr">
        <is>
          <t>Inforce</t>
        </is>
      </c>
      <c r="J14" s="58" t="n"/>
      <c r="K14" s="58" t="inlineStr">
        <is>
          <t>2091-12-26</t>
        </is>
      </c>
      <c r="L14" s="58" t="inlineStr">
        <is>
          <t>n/a</t>
        </is>
      </c>
    </row>
    <row r="15">
      <c r="A15" s="57" t="inlineStr">
        <is>
          <t>徐語希管理組</t>
        </is>
      </c>
      <c r="B15" s="57" t="inlineStr">
        <is>
          <t>龍浩賢</t>
        </is>
      </c>
      <c r="C15" s="57" t="inlineStr">
        <is>
          <t>LAU FAI FUNG CANDY</t>
        </is>
      </c>
      <c r="D15" s="57" t="inlineStr">
        <is>
          <t>LAU FAI FUNG CANDY</t>
        </is>
      </c>
      <c r="E15" s="57" t="n"/>
      <c r="F15" s="57" t="inlineStr">
        <is>
          <t>ETERNAL FORTUNE GLOBAL WHOLE LIFE INSURANCE PLAN</t>
        </is>
      </c>
      <c r="G15" s="57" t="inlineStr">
        <is>
          <t>2025-01-24</t>
        </is>
      </c>
      <c r="H15" s="57" t="inlineStr">
        <is>
          <t>2025-01-24</t>
        </is>
      </c>
      <c r="I15" s="57" t="inlineStr">
        <is>
          <t>Inforce</t>
        </is>
      </c>
      <c r="J15" s="57" t="inlineStr">
        <is>
          <t>5</t>
        </is>
      </c>
      <c r="K15" s="57" t="inlineStr">
        <is>
          <t>2106-01-27</t>
        </is>
      </c>
      <c r="L15" s="57" t="inlineStr">
        <is>
          <t>RH270415708HK</t>
        </is>
      </c>
    </row>
    <row r="16">
      <c r="A16" s="58" t="inlineStr">
        <is>
          <t>徐語希管理組</t>
        </is>
      </c>
      <c r="B16" s="58" t="inlineStr">
        <is>
          <t>龍浩賢</t>
        </is>
      </c>
      <c r="C16" s="58" t="inlineStr">
        <is>
          <t>CHENG HONG WAI</t>
        </is>
      </c>
      <c r="D16" s="58" t="inlineStr">
        <is>
          <t>CHENG HONG WAI</t>
        </is>
      </c>
      <c r="E16" s="58" t="n"/>
      <c r="F16" s="58" t="inlineStr">
        <is>
          <t>PROTECTU INSURANCE PLAN (WITH CRITICAL ILLNESS PROTECTION)</t>
        </is>
      </c>
      <c r="G16" s="58" t="n"/>
      <c r="H16" s="58" t="inlineStr">
        <is>
          <t>2025-07-02</t>
        </is>
      </c>
      <c r="I16" s="58" t="inlineStr">
        <is>
          <t>Inforce</t>
        </is>
      </c>
      <c r="J16" s="58" t="n"/>
      <c r="K16" s="58" t="inlineStr">
        <is>
          <t>2081-07-02</t>
        </is>
      </c>
      <c r="L16" s="58" t="inlineStr">
        <is>
          <t>n/a</t>
        </is>
      </c>
    </row>
    <row r="17">
      <c r="A17" s="57" t="inlineStr">
        <is>
          <t>徐語希管理組</t>
        </is>
      </c>
      <c r="B17" s="57" t="inlineStr">
        <is>
          <t>龍浩賢</t>
        </is>
      </c>
      <c r="C17" s="57" t="inlineStr">
        <is>
          <t>CHENG HONG WAI</t>
        </is>
      </c>
      <c r="D17" s="57" t="inlineStr">
        <is>
          <t>CHENG HONG WAI</t>
        </is>
      </c>
      <c r="E17" s="57" t="n"/>
      <c r="F17" s="57" t="inlineStr">
        <is>
          <t>CRITICAL ILLNESS 188 WHOLE LIFE INSURANCE PLAN</t>
        </is>
      </c>
      <c r="G17" s="57" t="n"/>
      <c r="H17" s="57" t="inlineStr">
        <is>
          <t>2025-07-02</t>
        </is>
      </c>
      <c r="I17" s="57" t="inlineStr">
        <is>
          <t>Inforce</t>
        </is>
      </c>
      <c r="J17" s="57" t="n"/>
      <c r="K17" s="57" t="inlineStr">
        <is>
          <t>2131-07-05</t>
        </is>
      </c>
      <c r="L17" s="57" t="inlineStr">
        <is>
          <t>n/a</t>
        </is>
      </c>
    </row>
    <row r="18">
      <c r="A18" s="58" t="inlineStr">
        <is>
          <t>徐語希管理組</t>
        </is>
      </c>
      <c r="B18" s="58" t="inlineStr">
        <is>
          <t>龍浩賢</t>
        </is>
      </c>
      <c r="C18" s="58" t="inlineStr">
        <is>
          <t>HONG SHING HEI</t>
        </is>
      </c>
      <c r="D18" s="58" t="inlineStr">
        <is>
          <t>HONG SHING HEI</t>
        </is>
      </c>
      <c r="E18" s="58" t="n"/>
      <c r="F18" s="58" t="inlineStr">
        <is>
          <t>GLAMOROUS GLOW GLOBAL WHOLE LIFE INSURANCE PLAN</t>
        </is>
      </c>
      <c r="G18" s="58" t="n"/>
      <c r="H18" s="58" t="inlineStr">
        <is>
          <t>2025-08-08</t>
        </is>
      </c>
      <c r="I18" s="58" t="inlineStr">
        <is>
          <t>Inforce</t>
        </is>
      </c>
      <c r="J18" s="58" t="inlineStr">
        <is>
          <t>5</t>
        </is>
      </c>
      <c r="K18" s="58" t="inlineStr">
        <is>
          <t>2084-08-12</t>
        </is>
      </c>
      <c r="L18" s="58" t="inlineStr">
        <is>
          <t>RH353856376HK</t>
        </is>
      </c>
    </row>
    <row r="19">
      <c r="A19" s="57" t="inlineStr">
        <is>
          <t>徐語希管理組</t>
        </is>
      </c>
      <c r="B19" s="57" t="inlineStr">
        <is>
          <t>龍浩賢</t>
        </is>
      </c>
      <c r="C19" s="57" t="inlineStr">
        <is>
          <t>HUI KA YAN</t>
        </is>
      </c>
      <c r="D19" s="57" t="inlineStr">
        <is>
          <t>HUI KA YAN</t>
        </is>
      </c>
      <c r="E19" s="57" t="inlineStr">
        <is>
          <t>3879739788</t>
        </is>
      </c>
      <c r="F19" s="57" t="inlineStr">
        <is>
          <t>GLAMOROUS GLOW GLOBAL WHOLE LIFE INSURANCE PLAN</t>
        </is>
      </c>
      <c r="G19" s="57" t="inlineStr">
        <is>
          <t>2025-08-28</t>
        </is>
      </c>
      <c r="H19" s="57" t="inlineStr">
        <is>
          <t>2025-08-28</t>
        </is>
      </c>
      <c r="I19" s="57" t="inlineStr">
        <is>
          <t>Inforce</t>
        </is>
      </c>
      <c r="J19" s="57" t="inlineStr">
        <is>
          <t>5</t>
        </is>
      </c>
      <c r="K19" s="57" t="inlineStr">
        <is>
          <t>2119-09-03</t>
        </is>
      </c>
      <c r="L19" s="57" t="inlineStr">
        <is>
          <t>n/a</t>
        </is>
      </c>
    </row>
    <row r="20">
      <c r="A20" s="58" t="inlineStr">
        <is>
          <t>徐語希管理組</t>
        </is>
      </c>
      <c r="B20" s="58" t="inlineStr">
        <is>
          <t>龍浩賢</t>
        </is>
      </c>
      <c r="C20" s="58" t="inlineStr">
        <is>
          <t>PANG SIU NGAI</t>
        </is>
      </c>
      <c r="D20" s="58" t="inlineStr">
        <is>
          <t>PANG SIU NGAI</t>
        </is>
      </c>
      <c r="E20" s="58" t="inlineStr">
        <is>
          <t>3883060488</t>
        </is>
      </c>
      <c r="F20" s="58" t="inlineStr">
        <is>
          <t>INCOMEJOY LIFELONG INSURANCE PLAN</t>
        </is>
      </c>
      <c r="G20" s="58" t="inlineStr">
        <is>
          <t>2025-09-25</t>
        </is>
      </c>
      <c r="H20" s="58" t="inlineStr">
        <is>
          <t>2025-09-25</t>
        </is>
      </c>
      <c r="I20" s="58" t="inlineStr">
        <is>
          <t>Inforce</t>
        </is>
      </c>
      <c r="J20" s="58" t="inlineStr">
        <is>
          <t>2</t>
        </is>
      </c>
      <c r="K20" s="58" t="inlineStr">
        <is>
          <t>2092-10-11</t>
        </is>
      </c>
      <c r="L20" s="58" t="inlineStr">
        <is>
          <t>RH382484941HK</t>
        </is>
      </c>
    </row>
    <row r="21">
      <c r="A21" s="57" t="inlineStr">
        <is>
          <t>徐語希管理組</t>
        </is>
      </c>
      <c r="B21" s="57" t="inlineStr">
        <is>
          <t>龍浩賢</t>
        </is>
      </c>
      <c r="C21" s="57" t="inlineStr">
        <is>
          <t>HE BAOHONG</t>
        </is>
      </c>
      <c r="D21" s="57" t="inlineStr">
        <is>
          <t>HE BAOHONG</t>
        </is>
      </c>
      <c r="E21" s="57" t="inlineStr">
        <is>
          <t>3885055788</t>
        </is>
      </c>
      <c r="F21" s="57" t="inlineStr">
        <is>
          <t>PROTECTU INSURANCE PLAN</t>
        </is>
      </c>
      <c r="G21" s="57" t="inlineStr">
        <is>
          <t>2025-10-09</t>
        </is>
      </c>
      <c r="H21" s="57" t="inlineStr">
        <is>
          <t>2025-10-09</t>
        </is>
      </c>
      <c r="I21" s="57" t="inlineStr">
        <is>
          <t>Inforce</t>
        </is>
      </c>
      <c r="J21" s="57" t="inlineStr">
        <is>
          <t>41</t>
        </is>
      </c>
      <c r="K21" s="57" t="inlineStr">
        <is>
          <t>2066-10-16</t>
        </is>
      </c>
      <c r="L21" s="57" t="inlineStr">
        <is>
          <t>n/a</t>
        </is>
      </c>
    </row>
    <row r="22">
      <c r="A22" s="58" t="inlineStr">
        <is>
          <t>徐語希管理組</t>
        </is>
      </c>
      <c r="B22" s="58" t="inlineStr">
        <is>
          <t>龍浩賢</t>
        </is>
      </c>
      <c r="C22" s="58" t="inlineStr">
        <is>
          <t>HE BAOHONG</t>
        </is>
      </c>
      <c r="D22" s="58" t="inlineStr">
        <is>
          <t>HE BAOHONG</t>
        </is>
      </c>
      <c r="E22" s="58" t="inlineStr">
        <is>
          <t>3885070888</t>
        </is>
      </c>
      <c r="F22" s="58" t="inlineStr">
        <is>
          <t>ETERNAL FORTUNE GLOBAL WHOLE LIFE INSURANCE PLAN</t>
        </is>
      </c>
      <c r="G22" s="58" t="inlineStr">
        <is>
          <t>2025-10-09</t>
        </is>
      </c>
      <c r="H22" s="58" t="inlineStr">
        <is>
          <t>2025-10-09</t>
        </is>
      </c>
      <c r="I22" s="58" t="inlineStr">
        <is>
          <t>Inforce</t>
        </is>
      </c>
      <c r="J22" s="58" t="inlineStr">
        <is>
          <t>5</t>
        </is>
      </c>
      <c r="K22" s="58" t="inlineStr">
        <is>
          <t>2116-10-10</t>
        </is>
      </c>
      <c r="L22" s="58" t="inlineStr">
        <is>
          <t>RH3824846814HK</t>
        </is>
      </c>
    </row>
    <row r="23">
      <c r="A23" s="57" t="inlineStr">
        <is>
          <t>徐語希管理組</t>
        </is>
      </c>
      <c r="B23" s="57" t="inlineStr">
        <is>
          <t>龍浩賢</t>
        </is>
      </c>
      <c r="C23" s="57" t="inlineStr">
        <is>
          <t>LUNG HO YIN</t>
        </is>
      </c>
      <c r="D23" s="57" t="inlineStr">
        <is>
          <t>LUNG HO YIN</t>
        </is>
      </c>
      <c r="E23" s="57" t="inlineStr">
        <is>
          <t>3887939988</t>
        </is>
      </c>
      <c r="F23" s="57" t="inlineStr">
        <is>
          <t>ETERNAL FORTUNE GLOBAL WHOLE LIFE INSURANCE PLAN</t>
        </is>
      </c>
      <c r="G23" s="57" t="inlineStr">
        <is>
          <t>2025-10-27</t>
        </is>
      </c>
      <c r="H23" s="57" t="inlineStr">
        <is>
          <t>2025-10-27</t>
        </is>
      </c>
      <c r="I23" s="57" t="inlineStr">
        <is>
          <t>Inforce</t>
        </is>
      </c>
      <c r="J23" s="57" t="inlineStr">
        <is>
          <t>5</t>
        </is>
      </c>
      <c r="K23" s="57" t="inlineStr">
        <is>
          <t>2131-10-27</t>
        </is>
      </c>
      <c r="L23" s="57" t="inlineStr">
        <is>
          <t>n/a</t>
        </is>
      </c>
    </row>
    <row r="24">
      <c r="A24" s="58" t="inlineStr">
        <is>
          <t>徐語希管理組</t>
        </is>
      </c>
      <c r="B24" s="58" t="inlineStr">
        <is>
          <t>龍浩賢</t>
        </is>
      </c>
      <c r="C24" s="58" t="inlineStr">
        <is>
          <t>LUNG HO YIN</t>
        </is>
      </c>
      <c r="D24" s="58" t="inlineStr">
        <is>
          <t>LUNG HO YIN</t>
        </is>
      </c>
      <c r="E24" s="58" t="inlineStr">
        <is>
          <t>3887942488</t>
        </is>
      </c>
      <c r="F24" s="58" t="inlineStr">
        <is>
          <t>EASY-PLUG INSURANCE PLAN</t>
        </is>
      </c>
      <c r="G24" s="58" t="inlineStr">
        <is>
          <t>2025-10-27</t>
        </is>
      </c>
      <c r="H24" s="58" t="inlineStr">
        <is>
          <t>2025-10-27</t>
        </is>
      </c>
      <c r="I24" s="58" t="inlineStr">
        <is>
          <t>Inforce</t>
        </is>
      </c>
      <c r="J24" s="58" t="inlineStr">
        <is>
          <t>76</t>
        </is>
      </c>
      <c r="K24" s="58" t="inlineStr">
        <is>
          <t>2101-10-27</t>
        </is>
      </c>
      <c r="L24" s="58" t="inlineStr">
        <is>
          <t>n/a</t>
        </is>
      </c>
    </row>
    <row r="25">
      <c r="A25" s="57" t="inlineStr">
        <is>
          <t>徐語希管理組</t>
        </is>
      </c>
      <c r="B25" s="57" t="inlineStr">
        <is>
          <t>龍浩賢</t>
        </is>
      </c>
      <c r="C25" s="57" t="inlineStr">
        <is>
          <t>LUNG HO YIN</t>
        </is>
      </c>
      <c r="D25" s="57" t="inlineStr">
        <is>
          <t>LUNG HO YIN</t>
        </is>
      </c>
      <c r="E25" s="57" t="inlineStr">
        <is>
          <t>3888078988</t>
        </is>
      </c>
      <c r="F25" s="57" t="inlineStr">
        <is>
          <t>EASY-PLUG INSURANCE PLAN</t>
        </is>
      </c>
      <c r="G25" s="57" t="inlineStr">
        <is>
          <t>2025-10-27</t>
        </is>
      </c>
      <c r="H25" s="57" t="inlineStr">
        <is>
          <t>2025-10-27</t>
        </is>
      </c>
      <c r="I25" s="57" t="inlineStr">
        <is>
          <t>Inforce</t>
        </is>
      </c>
      <c r="J25" s="57" t="inlineStr">
        <is>
          <t>76</t>
        </is>
      </c>
      <c r="K25" s="57" t="inlineStr">
        <is>
          <t>2101-10-27</t>
        </is>
      </c>
      <c r="L25" s="57" t="inlineStr">
        <is>
          <t>n/a</t>
        </is>
      </c>
    </row>
    <row r="26">
      <c r="A26" s="58" t="inlineStr">
        <is>
          <t>徐語希管理組</t>
        </is>
      </c>
      <c r="B26" s="58" t="inlineStr">
        <is>
          <t>龍浩賢</t>
        </is>
      </c>
      <c r="C26" s="58" t="inlineStr">
        <is>
          <t>CHENG HONG WAI</t>
        </is>
      </c>
      <c r="D26" s="58" t="inlineStr">
        <is>
          <t>CHENG HONG WAI</t>
        </is>
      </c>
      <c r="E26" s="58" t="inlineStr">
        <is>
          <t>3889687988</t>
        </is>
      </c>
      <c r="F26" s="58" t="inlineStr">
        <is>
          <t>ETERNAL FORTUNE GLOBAL WHOLE LIFE INSURANCE PLAN</t>
        </is>
      </c>
      <c r="G26" s="58" t="inlineStr">
        <is>
          <t>2025-11-05</t>
        </is>
      </c>
      <c r="H26" s="58" t="inlineStr">
        <is>
          <t>2025-11-05</t>
        </is>
      </c>
      <c r="I26" s="58" t="inlineStr">
        <is>
          <t>Inforce</t>
        </is>
      </c>
      <c r="J26" s="58" t="inlineStr">
        <is>
          <t>5</t>
        </is>
      </c>
      <c r="K26" s="58" t="inlineStr">
        <is>
          <t>2131-11-05</t>
        </is>
      </c>
      <c r="L26" s="58" t="inlineStr">
        <is>
          <t>n/a</t>
        </is>
      </c>
    </row>
    <row r="27">
      <c r="A27" s="57" t="inlineStr">
        <is>
          <t>徐語希管理組</t>
        </is>
      </c>
      <c r="B27" s="57" t="inlineStr">
        <is>
          <t>龍浩賢</t>
        </is>
      </c>
      <c r="C27" s="57" t="inlineStr">
        <is>
          <t>HO YING NGAN JOSEPHINE</t>
        </is>
      </c>
      <c r="D27" s="57" t="inlineStr">
        <is>
          <t>HO YING NGAN JOSEPHINE</t>
        </is>
      </c>
      <c r="E27" s="57" t="inlineStr">
        <is>
          <t>4002085488</t>
        </is>
      </c>
      <c r="F27" s="57" t="inlineStr">
        <is>
          <t>INCOMEJOY LIFELONG INSURANCE PLAN</t>
        </is>
      </c>
      <c r="G27" s="57" t="inlineStr">
        <is>
          <t>2026-01-27</t>
        </is>
      </c>
      <c r="H27" s="57" t="inlineStr">
        <is>
          <t>2026-01-27</t>
        </is>
      </c>
      <c r="I27" s="57" t="inlineStr">
        <is>
          <t>Inforce</t>
        </is>
      </c>
      <c r="J27" s="57" t="inlineStr">
        <is>
          <t>2</t>
        </is>
      </c>
      <c r="K27" s="57" t="inlineStr">
        <is>
          <t>2086-01-28</t>
        </is>
      </c>
      <c r="L27" s="57" t="inlineStr">
        <is>
          <t>RH382783631HK</t>
        </is>
      </c>
    </row>
    <row r="28">
      <c r="A28" s="58" t="inlineStr">
        <is>
          <t>徐語希管理組</t>
        </is>
      </c>
      <c r="B28" s="58" t="inlineStr">
        <is>
          <t>龍浩賢</t>
        </is>
      </c>
      <c r="C28" s="58" t="inlineStr">
        <is>
          <t>KWOK WAI LING</t>
        </is>
      </c>
      <c r="D28" s="58" t="inlineStr">
        <is>
          <t>KWOK WAI LING</t>
        </is>
      </c>
      <c r="E28" s="58" t="inlineStr">
        <is>
          <t>4002696988</t>
        </is>
      </c>
      <c r="F28" s="58" t="inlineStr">
        <is>
          <t>INCOMEJOY LIFELONG INSURANCE PLAN</t>
        </is>
      </c>
      <c r="G28" s="58" t="inlineStr">
        <is>
          <t>2026-04-21</t>
        </is>
      </c>
      <c r="H28" s="58" t="inlineStr">
        <is>
          <t>2026-04-21</t>
        </is>
      </c>
      <c r="I28" s="58" t="inlineStr">
        <is>
          <t>Inforce</t>
        </is>
      </c>
      <c r="J28" s="58" t="inlineStr">
        <is>
          <t>2</t>
        </is>
      </c>
      <c r="K28" s="58" t="inlineStr">
        <is>
          <t>2088-05-19</t>
        </is>
      </c>
      <c r="L28" s="58" t="inlineStr">
        <is>
          <t>RH412022300HK</t>
        </is>
      </c>
    </row>
    <row r="29">
      <c r="A29" s="57" t="inlineStr">
        <is>
          <t>徐語希管理組</t>
        </is>
      </c>
      <c r="B29" s="57" t="inlineStr">
        <is>
          <t>龍浩賢</t>
        </is>
      </c>
      <c r="C29" s="57" t="inlineStr">
        <is>
          <t>SO SAU YAN</t>
        </is>
      </c>
      <c r="D29" s="57" t="inlineStr">
        <is>
          <t>SO SAU YAN</t>
        </is>
      </c>
      <c r="E29" s="57" t="inlineStr">
        <is>
          <t>4019623988</t>
        </is>
      </c>
      <c r="F29" s="57" t="inlineStr">
        <is>
          <t>ASSURE TOGETHER GLOBAL WHOLE LIFE INSURANCE PLAN</t>
        </is>
      </c>
      <c r="G29" s="57" t="inlineStr">
        <is>
          <t>2025-12-19</t>
        </is>
      </c>
      <c r="H29" s="57" t="inlineStr">
        <is>
          <t>2025-12-22</t>
        </is>
      </c>
      <c r="I29" s="57" t="inlineStr">
        <is>
          <t>Inforce</t>
        </is>
      </c>
      <c r="J29" s="57" t="inlineStr">
        <is>
          <t>5</t>
        </is>
      </c>
      <c r="K29" s="57" t="inlineStr">
        <is>
          <t>2104-12-19</t>
        </is>
      </c>
      <c r="L29" s="57" t="inlineStr">
        <is>
          <t>RH382456415HK</t>
        </is>
      </c>
    </row>
    <row r="30">
      <c r="A30" s="58" t="inlineStr">
        <is>
          <t>徐語希管理組</t>
        </is>
      </c>
      <c r="B30" s="58" t="inlineStr">
        <is>
          <t>龍浩賢</t>
        </is>
      </c>
      <c r="C30" s="58" t="inlineStr">
        <is>
          <t>TANG KWONG HOW</t>
        </is>
      </c>
      <c r="D30" s="58" t="inlineStr">
        <is>
          <t>TANG KWONG HOW</t>
        </is>
      </c>
      <c r="E30" s="58" t="inlineStr">
        <is>
          <t>5014089388</t>
        </is>
      </c>
      <c r="F30" s="58" t="inlineStr">
        <is>
          <t>INCOMEJOY LIFELONG INSURANCE PLAN</t>
        </is>
      </c>
      <c r="G30" s="58" t="inlineStr">
        <is>
          <t>2026-03-18</t>
        </is>
      </c>
      <c r="H30" s="58" t="inlineStr">
        <is>
          <t>2026-03-20</t>
        </is>
      </c>
      <c r="I30" s="58" t="inlineStr">
        <is>
          <t>Inforce</t>
        </is>
      </c>
      <c r="J30" s="58" t="inlineStr">
        <is>
          <t>2</t>
        </is>
      </c>
      <c r="K30" s="58" t="inlineStr">
        <is>
          <t>2082-03-18</t>
        </is>
      </c>
      <c r="L30" s="58" t="inlineStr">
        <is>
          <t>RH401461733HK</t>
        </is>
      </c>
    </row>
    <row r="31">
      <c r="A31" s="57" t="inlineStr">
        <is>
          <t>徐語希管理組</t>
        </is>
      </c>
      <c r="B31" s="57" t="inlineStr">
        <is>
          <t>龍浩賢</t>
        </is>
      </c>
      <c r="C31" s="57" t="inlineStr">
        <is>
          <t>KWOK WAI LING</t>
        </is>
      </c>
      <c r="D31" s="57" t="inlineStr">
        <is>
          <t>KWOK WAI LING</t>
        </is>
      </c>
      <c r="E31" s="57" t="inlineStr">
        <is>
          <t>5014681988</t>
        </is>
      </c>
      <c r="F31" s="57" t="inlineStr">
        <is>
          <t>INCOMEJOY LIFELONG INSURANCE PLAN</t>
        </is>
      </c>
      <c r="G31" s="57" t="inlineStr">
        <is>
          <t>2026-03-20</t>
        </is>
      </c>
      <c r="H31" s="57" t="n"/>
      <c r="I31" s="57" t="inlineStr">
        <is>
          <t>Withdrawn</t>
        </is>
      </c>
      <c r="J31" s="57" t="inlineStr">
        <is>
          <t>2</t>
        </is>
      </c>
      <c r="K31" s="57" t="inlineStr">
        <is>
          <t>2088-03-20</t>
        </is>
      </c>
      <c r="L31" s="57" t="inlineStr">
        <is>
          <t>n/a</t>
        </is>
      </c>
    </row>
    <row r="32">
      <c r="A32" s="58" t="inlineStr">
        <is>
          <t>徐語希管理組</t>
        </is>
      </c>
      <c r="B32" s="58" t="inlineStr">
        <is>
          <t>龍浩賢</t>
        </is>
      </c>
      <c r="C32" s="58" t="inlineStr">
        <is>
          <t>NG CHU WING</t>
        </is>
      </c>
      <c r="D32" s="58" t="inlineStr">
        <is>
          <t>NG CHU WING</t>
        </is>
      </c>
      <c r="E32" s="58" t="inlineStr">
        <is>
          <t>5019868288</t>
        </is>
      </c>
      <c r="F32" s="58" t="inlineStr">
        <is>
          <t>INCOMEJOY LIFELONG INSURANCE PLAN</t>
        </is>
      </c>
      <c r="G32" s="58" t="inlineStr">
        <is>
          <t>2026-03-21</t>
        </is>
      </c>
      <c r="H32" s="58" t="inlineStr">
        <is>
          <t>2026-03-24</t>
        </is>
      </c>
      <c r="I32" s="58" t="inlineStr">
        <is>
          <t>Inforce</t>
        </is>
      </c>
      <c r="J32" s="58" t="inlineStr">
        <is>
          <t>2</t>
        </is>
      </c>
      <c r="K32" s="58" t="inlineStr">
        <is>
          <t>2084-03-24</t>
        </is>
      </c>
      <c r="L32" s="58" t="inlineStr">
        <is>
          <t>RH401431422HK</t>
        </is>
      </c>
    </row>
    <row r="33">
      <c r="A33" s="57" t="inlineStr">
        <is>
          <t>徐語希管理組</t>
        </is>
      </c>
      <c r="B33" s="57" t="inlineStr">
        <is>
          <t>龍浩賢</t>
        </is>
      </c>
      <c r="C33" s="57" t="inlineStr">
        <is>
          <t>CHEUNG TAK SIN</t>
        </is>
      </c>
      <c r="D33" s="57" t="inlineStr">
        <is>
          <t>CHEUNG TAK SIN</t>
        </is>
      </c>
      <c r="E33" s="57" t="inlineStr">
        <is>
          <t>5022662188</t>
        </is>
      </c>
      <c r="F33" s="57" t="inlineStr">
        <is>
          <t>INCOMEJOY LIFELONG INSURANCE PLAN</t>
        </is>
      </c>
      <c r="G33" s="57" t="inlineStr">
        <is>
          <t>2026-03-30</t>
        </is>
      </c>
      <c r="H33" s="57" t="n"/>
      <c r="I33" s="57" t="inlineStr">
        <is>
          <t>Pending</t>
        </is>
      </c>
      <c r="J33" s="57" t="inlineStr">
        <is>
          <t>2</t>
        </is>
      </c>
      <c r="K33" s="57" t="inlineStr">
        <is>
          <t>2104-03-28</t>
        </is>
      </c>
      <c r="L33" s="57" t="inlineStr">
        <is>
          <t>n/a</t>
        </is>
      </c>
    </row>
  </sheetData>
  <autoFilter ref="A2:L33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0AEC0"/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</t>
        </is>
      </c>
      <c r="B1" t="inlineStr">
        <is>
          <t>Meaning</t>
        </is>
      </c>
    </row>
    <row r="2">
      <c r="A2" t="inlineStr">
        <is>
          <t>NEW</t>
        </is>
      </c>
      <c r="B2" t="inlineStr">
        <is>
          <t>Not contacted yet</t>
        </is>
      </c>
    </row>
    <row r="3">
      <c r="A3" t="inlineStr">
        <is>
          <t>L0</t>
        </is>
      </c>
      <c r="B3" t="inlineStr">
        <is>
          <t>First contact</t>
        </is>
      </c>
    </row>
    <row r="4">
      <c r="A4" t="inlineStr">
        <is>
          <t>L1</t>
        </is>
      </c>
      <c r="B4" t="inlineStr">
        <is>
          <t>Meeting / needs</t>
        </is>
      </c>
    </row>
    <row r="5">
      <c r="A5" t="inlineStr">
        <is>
          <t>L2</t>
        </is>
      </c>
      <c r="B5" t="inlineStr">
        <is>
          <t>Quote / follow-up</t>
        </is>
      </c>
    </row>
    <row r="6">
      <c r="A6" t="inlineStr">
        <is>
          <t>L3</t>
        </is>
      </c>
      <c r="B6" t="inlineStr">
        <is>
          <t>Closing</t>
        </is>
      </c>
    </row>
    <row r="7">
      <c r="A7" t="inlineStr"/>
      <c r="B7" t="inlineStr"/>
    </row>
    <row r="8">
      <c r="A8" t="inlineStr">
        <is>
          <t>Category</t>
        </is>
      </c>
      <c r="B8" t="inlineStr">
        <is>
          <t>Action</t>
        </is>
      </c>
    </row>
    <row r="9">
      <c r="A9" t="inlineStr">
        <is>
          <t>Hot</t>
        </is>
      </c>
      <c r="B9" t="inlineStr">
        <is>
          <t>Call this week</t>
        </is>
      </c>
    </row>
    <row r="10">
      <c r="A10" t="inlineStr">
        <is>
          <t>Warm</t>
        </is>
      </c>
      <c r="B10" t="inlineStr">
        <is>
          <t>Book L1</t>
        </is>
      </c>
    </row>
    <row r="11">
      <c r="A11" t="inlineStr">
        <is>
          <t>Client</t>
        </is>
      </c>
      <c r="B11" t="inlineStr">
        <is>
          <t>Service + referral</t>
        </is>
      </c>
    </row>
    <row r="12">
      <c r="A12" t="inlineStr">
        <is>
          <t>Nurture</t>
        </is>
      </c>
      <c r="B12" t="inlineStr">
        <is>
          <t>Monthly touch</t>
        </is>
      </c>
    </row>
    <row r="13">
      <c r="A13" t="inlineStr">
        <is>
          <t>Low</t>
        </is>
      </c>
      <c r="B13" t="inlineStr">
        <is>
          <t>Batch only</t>
        </is>
      </c>
    </row>
    <row r="14">
      <c r="A14" t="inlineStr"/>
      <c r="B14" t="inlineStr"/>
    </row>
    <row r="15">
      <c r="A15" t="inlineStr">
        <is>
          <t>Referral Tier</t>
        </is>
      </c>
      <c r="B15" t="inlineStr">
        <is>
          <t>Who to ask</t>
        </is>
      </c>
    </row>
    <row r="16">
      <c r="A16" t="inlineStr">
        <is>
          <t>Champion</t>
        </is>
      </c>
      <c r="B16" t="inlineStr">
        <is>
          <t>Client / 2+ policies — ask every quarter</t>
        </is>
      </c>
    </row>
    <row r="17">
      <c r="A17" t="inlineStr">
        <is>
          <t>Advocate</t>
        </is>
      </c>
      <c r="B17" t="inlineStr">
        <is>
          <t>Gave 2+ referrals</t>
        </is>
      </c>
    </row>
    <row r="18">
      <c r="A18" t="inlineStr">
        <is>
          <t>High Potential</t>
        </is>
      </c>
      <c r="B18" t="inlineStr">
        <is>
          <t>Rel score 4-5</t>
        </is>
      </c>
    </row>
    <row r="19">
      <c r="A19" t="inlineStr">
        <is>
          <t>Standard</t>
        </is>
      </c>
      <c r="B19" t="inlineStr">
        <is>
          <t>Rel score 3</t>
        </is>
      </c>
    </row>
    <row r="20">
      <c r="A20" t="inlineStr">
        <is>
          <t>New</t>
        </is>
      </c>
      <c r="B20" t="inlineStr">
        <is>
          <t>Build relationship first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2026-06-03T17:32:38Z</dcterms:created>
  <dcterms:modified xsi:type="dcterms:W3CDTF">2026-06-03T17:32:38Z</dcterms:modified>
</cp:coreProperties>
</file>